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Rose\OneDrive\Desktop\excel_sales_dashboard_2025\"/>
    </mc:Choice>
  </mc:AlternateContent>
  <xr:revisionPtr revIDLastSave="0" documentId="13_ncr:1_{3DAFCE50-9075-4428-A2EC-36D07F83EA5F}" xr6:coauthVersionLast="47" xr6:coauthVersionMax="47" xr10:uidLastSave="{00000000-0000-0000-0000-000000000000}"/>
  <bookViews>
    <workbookView xWindow="-120" yWindow="-120" windowWidth="20730" windowHeight="11040" activeTab="5" xr2:uid="{E204DCA4-901B-4F33-89D7-8D48FA1B5D53}"/>
  </bookViews>
  <sheets>
    <sheet name="Sales_Table" sheetId="1" r:id="rId1"/>
    <sheet name="Region Product Salesperson list" sheetId="2" r:id="rId2"/>
    <sheet name="Sales summary by month" sheetId="3" r:id="rId3"/>
    <sheet name="Region and product performance" sheetId="4" r:id="rId4"/>
    <sheet name="Salesperson leaderboard" sheetId="5" r:id="rId5"/>
    <sheet name="Dashboard" sheetId="6" r:id="rId6"/>
  </sheets>
  <definedNames>
    <definedName name="Slicer_Months__Date">#N/A</definedName>
    <definedName name="Slicer_Product">#N/A</definedName>
    <definedName name="Slicer_Region">#N/A</definedName>
    <definedName name="Slicer_Salesperson">#N/A</definedName>
  </definedNames>
  <calcPr calcId="191029"/>
  <pivotCaches>
    <pivotCache cacheId="1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F12" i="2" l="1"/>
  <c r="F11" i="2"/>
  <c r="F10" i="2"/>
  <c r="F9" i="2"/>
</calcChain>
</file>

<file path=xl/sharedStrings.xml><?xml version="1.0" encoding="utf-8"?>
<sst xmlns="http://schemas.openxmlformats.org/spreadsheetml/2006/main" count="237" uniqueCount="50">
  <si>
    <t>Date</t>
  </si>
  <si>
    <t>Region</t>
  </si>
  <si>
    <t>Salesperson</t>
  </si>
  <si>
    <t>Product</t>
  </si>
  <si>
    <t>Units Sold</t>
  </si>
  <si>
    <t>Unit Price</t>
  </si>
  <si>
    <t>Total Sales</t>
  </si>
  <si>
    <t>Discount</t>
  </si>
  <si>
    <t>Net Sales</t>
  </si>
  <si>
    <t>Customer Rating</t>
  </si>
  <si>
    <t>North</t>
  </si>
  <si>
    <t>Alice</t>
  </si>
  <si>
    <t>Smartphone</t>
  </si>
  <si>
    <t>West</t>
  </si>
  <si>
    <t>Laptop</t>
  </si>
  <si>
    <t>South</t>
  </si>
  <si>
    <t>Ethan</t>
  </si>
  <si>
    <t>Monitor</t>
  </si>
  <si>
    <t>Charlie</t>
  </si>
  <si>
    <t>Diana</t>
  </si>
  <si>
    <t>Tablet</t>
  </si>
  <si>
    <t>Bob</t>
  </si>
  <si>
    <t>Printer</t>
  </si>
  <si>
    <t>East</t>
  </si>
  <si>
    <t>Sales Table</t>
  </si>
  <si>
    <t>Discount 20%</t>
  </si>
  <si>
    <t>Region_List</t>
  </si>
  <si>
    <t>Salesperson_List</t>
  </si>
  <si>
    <t>Product_List</t>
  </si>
  <si>
    <t>Total Sale</t>
  </si>
  <si>
    <t>Total NetSale</t>
  </si>
  <si>
    <t>Avg Discount</t>
  </si>
  <si>
    <t>Row Labels</t>
  </si>
  <si>
    <t>Grand Total</t>
  </si>
  <si>
    <t>Jan</t>
  </si>
  <si>
    <t>Feb</t>
  </si>
  <si>
    <t>Mar</t>
  </si>
  <si>
    <t>Apr</t>
  </si>
  <si>
    <t>May</t>
  </si>
  <si>
    <t>Jun</t>
  </si>
  <si>
    <t>Jul</t>
  </si>
  <si>
    <t>Aug</t>
  </si>
  <si>
    <t>Sep</t>
  </si>
  <si>
    <t>Oct</t>
  </si>
  <si>
    <t>Nov</t>
  </si>
  <si>
    <t>Dec</t>
  </si>
  <si>
    <t>Sum of Total Sales</t>
  </si>
  <si>
    <t>Sum of Net Sales</t>
  </si>
  <si>
    <t>Sum of Discount</t>
  </si>
  <si>
    <t>Sum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</si>
</sst>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0"/>
      <name val="Calibri"/>
      <family val="2"/>
      <scheme val="minor"/>
    </font>
    <font>
      <sz val="10"/>
      <color theme="1"/>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249977111117893"/>
        <bgColor indexed="64"/>
      </patternFill>
    </fill>
    <fill>
      <patternFill patternType="solid">
        <fgColor theme="5" tint="0.5999938962981048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4" fontId="0" fillId="0" borderId="0" xfId="0" applyNumberFormat="1"/>
    <xf numFmtId="1" fontId="0" fillId="0" borderId="0" xfId="0" applyNumberFormat="1"/>
    <xf numFmtId="164" fontId="0" fillId="0" borderId="0" xfId="0" applyNumberFormat="1"/>
    <xf numFmtId="0" fontId="18" fillId="33" borderId="0" xfId="0" applyFont="1" applyFill="1" applyAlignment="1">
      <alignment horizontal="center"/>
    </xf>
    <xf numFmtId="0" fontId="0" fillId="33" borderId="0" xfId="0" applyFill="1" applyAlignment="1">
      <alignment horizontal="center"/>
    </xf>
    <xf numFmtId="0" fontId="0" fillId="0" borderId="0" xfId="0" applyBorder="1"/>
    <xf numFmtId="0" fontId="19" fillId="0" borderId="0" xfId="0" applyFont="1" applyBorder="1" applyAlignment="1">
      <alignment wrapText="1"/>
    </xf>
    <xf numFmtId="0" fontId="19" fillId="0" borderId="10" xfId="0" applyFont="1" applyBorder="1" applyAlignment="1">
      <alignment wrapText="1"/>
    </xf>
    <xf numFmtId="0" fontId="0" fillId="34" borderId="10" xfId="0" applyFill="1" applyBorder="1"/>
    <xf numFmtId="0" fontId="19" fillId="0" borderId="10" xfId="0" applyFont="1" applyFill="1" applyBorder="1" applyAlignment="1">
      <alignment wrapText="1"/>
    </xf>
    <xf numFmtId="164" fontId="0" fillId="0" borderId="10" xfId="0" applyNumberFormat="1" applyBorder="1"/>
    <xf numFmtId="1" fontId="0" fillId="0" borderId="10" xfId="0" applyNumberFormat="1" applyBorder="1"/>
    <xf numFmtId="0" fontId="0" fillId="0" borderId="0" xfId="0" pivotButton="1"/>
    <xf numFmtId="0" fontId="0" fillId="0" borderId="0" xfId="0" applyAlignment="1">
      <alignment horizontal="left"/>
    </xf>
    <xf numFmtId="0" fontId="0" fillId="0" borderId="0" xfId="0"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font>
        <color rgb="FF006100"/>
      </font>
      <fill>
        <patternFill>
          <bgColor rgb="FFC6EFCE"/>
        </patternFill>
      </fill>
    </dxf>
    <dxf>
      <fill>
        <patternFill>
          <bgColor theme="5" tint="0.59996337778862885"/>
        </patternFill>
      </fill>
    </dxf>
    <dxf>
      <numFmt numFmtId="1" formatCode="0"/>
    </dxf>
    <dxf>
      <numFmt numFmtId="164" formatCode="&quot;₹&quot;\ #,##0.00"/>
    </dxf>
    <dxf>
      <numFmt numFmtId="164" formatCode="&quot;₹&quot;\ #,##0.00"/>
    </dxf>
    <dxf>
      <numFmt numFmtId="164" formatCode="&quot;₹&quot;\ #,##0.00"/>
    </dxf>
    <dxf>
      <numFmt numFmtId="164" formatCode="&quot;₹&quot;\ #,##0.00"/>
    </dxf>
    <dxf>
      <numFmt numFmtId="1" formatCode="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[sales_report_dashboard.xlsx]Sales summary by month!PivotTable1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summary by month</a:t>
            </a:r>
            <a:endParaRPr lang="en-IN"/>
          </a:p>
        </c:rich>
      </c:tx>
      <c:layout>
        <c:manualLayout>
          <c:xMode val="edge"/>
          <c:yMode val="edge"/>
          <c:x val="0.29313888888888889"/>
          <c:y val="1.367521612943286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10870516185478"/>
          <c:y val="0.1111111111111111"/>
          <c:w val="0.60677887139107622"/>
          <c:h val="0.80393008165645963"/>
        </c:manualLayout>
      </c:layout>
      <c:lineChart>
        <c:grouping val="standard"/>
        <c:varyColors val="0"/>
        <c:ser>
          <c:idx val="0"/>
          <c:order val="0"/>
          <c:tx>
            <c:strRef>
              <c:f>'Sales summary by month'!$B$1</c:f>
              <c:strCache>
                <c:ptCount val="1"/>
                <c:pt idx="0">
                  <c:v>Sum of Total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'Sales summary by month'!$A$2:$A$14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summary by month'!$B$2:$B$14</c:f>
              <c:numCache>
                <c:formatCode>"₹"\ #,##0.00</c:formatCode>
                <c:ptCount val="12"/>
                <c:pt idx="0">
                  <c:v>15555.99</c:v>
                </c:pt>
                <c:pt idx="1">
                  <c:v>30541.08</c:v>
                </c:pt>
                <c:pt idx="2">
                  <c:v>53642.54</c:v>
                </c:pt>
                <c:pt idx="3">
                  <c:v>23051</c:v>
                </c:pt>
                <c:pt idx="4">
                  <c:v>9921.92</c:v>
                </c:pt>
                <c:pt idx="5">
                  <c:v>13644.580000000002</c:v>
                </c:pt>
                <c:pt idx="6">
                  <c:v>42016.91</c:v>
                </c:pt>
                <c:pt idx="7">
                  <c:v>10857.7</c:v>
                </c:pt>
                <c:pt idx="8">
                  <c:v>13441.74</c:v>
                </c:pt>
                <c:pt idx="9">
                  <c:v>23452.739999999998</c:v>
                </c:pt>
                <c:pt idx="10">
                  <c:v>11159.5</c:v>
                </c:pt>
                <c:pt idx="11">
                  <c:v>29059.93</c:v>
                </c:pt>
              </c:numCache>
            </c:numRef>
          </c:val>
          <c:smooth val="0"/>
          <c:extLst>
            <c:ext xmlns:c16="http://schemas.microsoft.com/office/drawing/2014/chart" uri="{C3380CC4-5D6E-409C-BE32-E72D297353CC}">
              <c16:uniqueId val="{00000000-974D-40DB-86D9-820E60980C1A}"/>
            </c:ext>
          </c:extLst>
        </c:ser>
        <c:ser>
          <c:idx val="1"/>
          <c:order val="1"/>
          <c:tx>
            <c:strRef>
              <c:f>'Sales summary by month'!$C$1</c:f>
              <c:strCache>
                <c:ptCount val="1"/>
                <c:pt idx="0">
                  <c:v>Sum of Net Sales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'Sales summary by month'!$A$2:$A$14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summary by month'!$C$2:$C$14</c:f>
              <c:numCache>
                <c:formatCode>"₹"\ #,##0.00</c:formatCode>
                <c:ptCount val="12"/>
                <c:pt idx="0">
                  <c:v>13267.23</c:v>
                </c:pt>
                <c:pt idx="1">
                  <c:v>25975.919999999998</c:v>
                </c:pt>
                <c:pt idx="2">
                  <c:v>46104.95</c:v>
                </c:pt>
                <c:pt idx="3">
                  <c:v>20368.93</c:v>
                </c:pt>
                <c:pt idx="4">
                  <c:v>8520.43</c:v>
                </c:pt>
                <c:pt idx="5">
                  <c:v>13210.560000000001</c:v>
                </c:pt>
                <c:pt idx="6">
                  <c:v>36446.46</c:v>
                </c:pt>
                <c:pt idx="7">
                  <c:v>9564.49</c:v>
                </c:pt>
                <c:pt idx="8">
                  <c:v>11930.75</c:v>
                </c:pt>
                <c:pt idx="9">
                  <c:v>20470.66</c:v>
                </c:pt>
                <c:pt idx="10">
                  <c:v>10776.18</c:v>
                </c:pt>
                <c:pt idx="11">
                  <c:v>28109.11</c:v>
                </c:pt>
              </c:numCache>
            </c:numRef>
          </c:val>
          <c:smooth val="0"/>
          <c:extLst>
            <c:ext xmlns:c16="http://schemas.microsoft.com/office/drawing/2014/chart" uri="{C3380CC4-5D6E-409C-BE32-E72D297353CC}">
              <c16:uniqueId val="{00000001-974D-40DB-86D9-820E60980C1A}"/>
            </c:ext>
          </c:extLst>
        </c:ser>
        <c:ser>
          <c:idx val="2"/>
          <c:order val="2"/>
          <c:tx>
            <c:strRef>
              <c:f>'Sales summary by month'!$D$1</c:f>
              <c:strCache>
                <c:ptCount val="1"/>
                <c:pt idx="0">
                  <c:v>Sum of Discount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'Sales summary by month'!$A$2:$A$14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summary by month'!$D$2:$D$14</c:f>
              <c:numCache>
                <c:formatCode>"₹"\ #,##0.00</c:formatCode>
                <c:ptCount val="12"/>
                <c:pt idx="0">
                  <c:v>2288.7600000000002</c:v>
                </c:pt>
                <c:pt idx="1">
                  <c:v>4565.16</c:v>
                </c:pt>
                <c:pt idx="2">
                  <c:v>7537.59</c:v>
                </c:pt>
                <c:pt idx="3">
                  <c:v>2682.07</c:v>
                </c:pt>
                <c:pt idx="4">
                  <c:v>1401.49</c:v>
                </c:pt>
                <c:pt idx="5">
                  <c:v>434.02</c:v>
                </c:pt>
                <c:pt idx="6">
                  <c:v>5570.45</c:v>
                </c:pt>
                <c:pt idx="7">
                  <c:v>1293.2099999999998</c:v>
                </c:pt>
                <c:pt idx="8">
                  <c:v>1510.9899999999998</c:v>
                </c:pt>
                <c:pt idx="9">
                  <c:v>2982.0800000000004</c:v>
                </c:pt>
                <c:pt idx="10">
                  <c:v>383.32</c:v>
                </c:pt>
                <c:pt idx="11">
                  <c:v>950.81999999999994</c:v>
                </c:pt>
              </c:numCache>
            </c:numRef>
          </c:val>
          <c:smooth val="0"/>
          <c:extLst>
            <c:ext xmlns:c16="http://schemas.microsoft.com/office/drawing/2014/chart" uri="{C3380CC4-5D6E-409C-BE32-E72D297353CC}">
              <c16:uniqueId val="{00000002-974D-40DB-86D9-820E60980C1A}"/>
            </c:ext>
          </c:extLst>
        </c:ser>
        <c:dLbls>
          <c:showLegendKey val="0"/>
          <c:showVal val="0"/>
          <c:showCatName val="0"/>
          <c:showSerName val="0"/>
          <c:showPercent val="0"/>
          <c:showBubbleSize val="0"/>
        </c:dLbls>
        <c:marker val="1"/>
        <c:smooth val="0"/>
        <c:axId val="355788256"/>
        <c:axId val="355794016"/>
      </c:lineChart>
      <c:catAx>
        <c:axId val="355788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794016"/>
        <c:crosses val="autoZero"/>
        <c:auto val="1"/>
        <c:lblAlgn val="ctr"/>
        <c:lblOffset val="100"/>
        <c:noMultiLvlLbl val="0"/>
      </c:catAx>
      <c:valAx>
        <c:axId val="3557940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788256"/>
        <c:crosses val="autoZero"/>
        <c:crossBetween val="between"/>
      </c:valAx>
      <c:spPr>
        <a:noFill/>
        <a:ln>
          <a:noFill/>
        </a:ln>
        <a:effectLst/>
      </c:spPr>
    </c:plotArea>
    <c:legend>
      <c:legendPos val="r"/>
      <c:layout>
        <c:manualLayout>
          <c:xMode val="edge"/>
          <c:yMode val="edge"/>
          <c:x val="0.78422090988626436"/>
          <c:y val="0.39207093904928553"/>
          <c:w val="0.19911242344706911"/>
          <c:h val="0.225117381160688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[sales_report_dashboard.xlsx]Region and product performance!PivotTable2</c:name>
    <c:fmtId val="0"/>
  </c:pivotSource>
  <c:chart>
    <c:title>
      <c:tx>
        <c:rich>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r>
              <a:rPr lang="en-IN" sz="1400" b="1" i="0" u="none" strike="noStrike" cap="none" baseline="0">
                <a:solidFill>
                  <a:schemeClr val="bg1"/>
                </a:solidFill>
              </a:rPr>
              <a:t>Region and product performance</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and product performance'!$B$2</c:f>
              <c:strCache>
                <c:ptCount val="1"/>
                <c:pt idx="0">
                  <c:v>Sum of Net Sales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multiLvlStrRef>
              <c:f>'Region and product performance'!$A$3:$A$27</c:f>
              <c:multiLvlStrCache>
                <c:ptCount val="20"/>
                <c:lvl>
                  <c:pt idx="0">
                    <c:v>Laptop</c:v>
                  </c:pt>
                  <c:pt idx="1">
                    <c:v>Monitor</c:v>
                  </c:pt>
                  <c:pt idx="2">
                    <c:v>Printer</c:v>
                  </c:pt>
                  <c:pt idx="3">
                    <c:v>Smartphone</c:v>
                  </c:pt>
                  <c:pt idx="4">
                    <c:v>Tablet</c:v>
                  </c:pt>
                  <c:pt idx="5">
                    <c:v>Laptop</c:v>
                  </c:pt>
                  <c:pt idx="6">
                    <c:v>Monitor</c:v>
                  </c:pt>
                  <c:pt idx="7">
                    <c:v>Printer</c:v>
                  </c:pt>
                  <c:pt idx="8">
                    <c:v>Smartphone</c:v>
                  </c:pt>
                  <c:pt idx="9">
                    <c:v>Tablet</c:v>
                  </c:pt>
                  <c:pt idx="10">
                    <c:v>Laptop</c:v>
                  </c:pt>
                  <c:pt idx="11">
                    <c:v>Monitor</c:v>
                  </c:pt>
                  <c:pt idx="12">
                    <c:v>Printer</c:v>
                  </c:pt>
                  <c:pt idx="13">
                    <c:v>Smartphone</c:v>
                  </c:pt>
                  <c:pt idx="14">
                    <c:v>Tablet</c:v>
                  </c:pt>
                  <c:pt idx="15">
                    <c:v>Laptop</c:v>
                  </c:pt>
                  <c:pt idx="16">
                    <c:v>Monitor</c:v>
                  </c:pt>
                  <c:pt idx="17">
                    <c:v>Printer</c:v>
                  </c:pt>
                  <c:pt idx="18">
                    <c:v>Smartphone</c:v>
                  </c:pt>
                  <c:pt idx="19">
                    <c:v>Tablet</c:v>
                  </c:pt>
                </c:lvl>
                <c:lvl>
                  <c:pt idx="0">
                    <c:v>East</c:v>
                  </c:pt>
                  <c:pt idx="5">
                    <c:v>North</c:v>
                  </c:pt>
                  <c:pt idx="10">
                    <c:v>South</c:v>
                  </c:pt>
                  <c:pt idx="15">
                    <c:v>West</c:v>
                  </c:pt>
                </c:lvl>
              </c:multiLvlStrCache>
            </c:multiLvlStrRef>
          </c:cat>
          <c:val>
            <c:numRef>
              <c:f>'Region and product performance'!$B$3:$B$27</c:f>
              <c:numCache>
                <c:formatCode>"₹"\ #,##0.00</c:formatCode>
                <c:ptCount val="20"/>
                <c:pt idx="0">
                  <c:v>19524.68</c:v>
                </c:pt>
                <c:pt idx="1">
                  <c:v>11582.91</c:v>
                </c:pt>
                <c:pt idx="2">
                  <c:v>29907.690000000002</c:v>
                </c:pt>
                <c:pt idx="3">
                  <c:v>7485.38</c:v>
                </c:pt>
                <c:pt idx="4">
                  <c:v>13942.64</c:v>
                </c:pt>
                <c:pt idx="5">
                  <c:v>9144.75</c:v>
                </c:pt>
                <c:pt idx="6">
                  <c:v>14063.84</c:v>
                </c:pt>
                <c:pt idx="7">
                  <c:v>8706.52</c:v>
                </c:pt>
                <c:pt idx="8">
                  <c:v>9255.43</c:v>
                </c:pt>
                <c:pt idx="9">
                  <c:v>23738.54</c:v>
                </c:pt>
                <c:pt idx="10">
                  <c:v>26374.720000000001</c:v>
                </c:pt>
                <c:pt idx="11">
                  <c:v>6713.34</c:v>
                </c:pt>
                <c:pt idx="12">
                  <c:v>4616.84</c:v>
                </c:pt>
                <c:pt idx="13">
                  <c:v>17168.68</c:v>
                </c:pt>
                <c:pt idx="14">
                  <c:v>7715.59</c:v>
                </c:pt>
                <c:pt idx="15">
                  <c:v>2479.08</c:v>
                </c:pt>
                <c:pt idx="16">
                  <c:v>17964.420000000002</c:v>
                </c:pt>
                <c:pt idx="17">
                  <c:v>975.3</c:v>
                </c:pt>
                <c:pt idx="18">
                  <c:v>7718.5599999999995</c:v>
                </c:pt>
                <c:pt idx="19">
                  <c:v>5666.76</c:v>
                </c:pt>
              </c:numCache>
            </c:numRef>
          </c:val>
          <c:extLst>
            <c:ext xmlns:c16="http://schemas.microsoft.com/office/drawing/2014/chart" uri="{C3380CC4-5D6E-409C-BE32-E72D297353CC}">
              <c16:uniqueId val="{00000000-576B-4738-BE71-2020F109F902}"/>
            </c:ext>
          </c:extLst>
        </c:ser>
        <c:ser>
          <c:idx val="1"/>
          <c:order val="1"/>
          <c:tx>
            <c:strRef>
              <c:f>'Region and product performance'!$C$2</c:f>
              <c:strCache>
                <c:ptCount val="1"/>
                <c:pt idx="0">
                  <c:v>Sum of Units Sold</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multiLvlStrRef>
              <c:f>'Region and product performance'!$A$3:$A$27</c:f>
              <c:multiLvlStrCache>
                <c:ptCount val="20"/>
                <c:lvl>
                  <c:pt idx="0">
                    <c:v>Laptop</c:v>
                  </c:pt>
                  <c:pt idx="1">
                    <c:v>Monitor</c:v>
                  </c:pt>
                  <c:pt idx="2">
                    <c:v>Printer</c:v>
                  </c:pt>
                  <c:pt idx="3">
                    <c:v>Smartphone</c:v>
                  </c:pt>
                  <c:pt idx="4">
                    <c:v>Tablet</c:v>
                  </c:pt>
                  <c:pt idx="5">
                    <c:v>Laptop</c:v>
                  </c:pt>
                  <c:pt idx="6">
                    <c:v>Monitor</c:v>
                  </c:pt>
                  <c:pt idx="7">
                    <c:v>Printer</c:v>
                  </c:pt>
                  <c:pt idx="8">
                    <c:v>Smartphone</c:v>
                  </c:pt>
                  <c:pt idx="9">
                    <c:v>Tablet</c:v>
                  </c:pt>
                  <c:pt idx="10">
                    <c:v>Laptop</c:v>
                  </c:pt>
                  <c:pt idx="11">
                    <c:v>Monitor</c:v>
                  </c:pt>
                  <c:pt idx="12">
                    <c:v>Printer</c:v>
                  </c:pt>
                  <c:pt idx="13">
                    <c:v>Smartphone</c:v>
                  </c:pt>
                  <c:pt idx="14">
                    <c:v>Tablet</c:v>
                  </c:pt>
                  <c:pt idx="15">
                    <c:v>Laptop</c:v>
                  </c:pt>
                  <c:pt idx="16">
                    <c:v>Monitor</c:v>
                  </c:pt>
                  <c:pt idx="17">
                    <c:v>Printer</c:v>
                  </c:pt>
                  <c:pt idx="18">
                    <c:v>Smartphone</c:v>
                  </c:pt>
                  <c:pt idx="19">
                    <c:v>Tablet</c:v>
                  </c:pt>
                </c:lvl>
                <c:lvl>
                  <c:pt idx="0">
                    <c:v>East</c:v>
                  </c:pt>
                  <c:pt idx="5">
                    <c:v>North</c:v>
                  </c:pt>
                  <c:pt idx="10">
                    <c:v>South</c:v>
                  </c:pt>
                  <c:pt idx="15">
                    <c:v>West</c:v>
                  </c:pt>
                </c:lvl>
              </c:multiLvlStrCache>
            </c:multiLvlStrRef>
          </c:cat>
          <c:val>
            <c:numRef>
              <c:f>'Region and product performance'!$C$3:$C$27</c:f>
              <c:numCache>
                <c:formatCode>0</c:formatCode>
                <c:ptCount val="20"/>
                <c:pt idx="0">
                  <c:v>38</c:v>
                </c:pt>
                <c:pt idx="1">
                  <c:v>18</c:v>
                </c:pt>
                <c:pt idx="2">
                  <c:v>38</c:v>
                </c:pt>
                <c:pt idx="3">
                  <c:v>20</c:v>
                </c:pt>
                <c:pt idx="4">
                  <c:v>38</c:v>
                </c:pt>
                <c:pt idx="5">
                  <c:v>29</c:v>
                </c:pt>
                <c:pt idx="6">
                  <c:v>23</c:v>
                </c:pt>
                <c:pt idx="7">
                  <c:v>20</c:v>
                </c:pt>
                <c:pt idx="8">
                  <c:v>34</c:v>
                </c:pt>
                <c:pt idx="9">
                  <c:v>37</c:v>
                </c:pt>
                <c:pt idx="10">
                  <c:v>38</c:v>
                </c:pt>
                <c:pt idx="11">
                  <c:v>28</c:v>
                </c:pt>
                <c:pt idx="12">
                  <c:v>16</c:v>
                </c:pt>
                <c:pt idx="13">
                  <c:v>24</c:v>
                </c:pt>
                <c:pt idx="14">
                  <c:v>12</c:v>
                </c:pt>
                <c:pt idx="15">
                  <c:v>6</c:v>
                </c:pt>
                <c:pt idx="16">
                  <c:v>42</c:v>
                </c:pt>
                <c:pt idx="17">
                  <c:v>5</c:v>
                </c:pt>
                <c:pt idx="18">
                  <c:v>17</c:v>
                </c:pt>
                <c:pt idx="19">
                  <c:v>15</c:v>
                </c:pt>
              </c:numCache>
            </c:numRef>
          </c:val>
          <c:extLst>
            <c:ext xmlns:c16="http://schemas.microsoft.com/office/drawing/2014/chart" uri="{C3380CC4-5D6E-409C-BE32-E72D297353CC}">
              <c16:uniqueId val="{00000001-576B-4738-BE71-2020F109F902}"/>
            </c:ext>
          </c:extLst>
        </c:ser>
        <c:dLbls>
          <c:showLegendKey val="0"/>
          <c:showVal val="0"/>
          <c:showCatName val="0"/>
          <c:showSerName val="0"/>
          <c:showPercent val="0"/>
          <c:showBubbleSize val="0"/>
        </c:dLbls>
        <c:gapWidth val="315"/>
        <c:overlap val="-40"/>
        <c:axId val="355785376"/>
        <c:axId val="355786336"/>
      </c:barChart>
      <c:catAx>
        <c:axId val="35578537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w="6350" cap="flat" cmpd="sng" algn="ctr">
            <a:solidFill>
              <a:schemeClr val="accent1"/>
            </a:solidFill>
            <a:prstDash val="solid"/>
            <a:miter lim="800000"/>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55786336"/>
        <c:crosses val="autoZero"/>
        <c:auto val="1"/>
        <c:lblAlgn val="ctr"/>
        <c:lblOffset val="100"/>
        <c:noMultiLvlLbl val="0"/>
      </c:catAx>
      <c:valAx>
        <c:axId val="35578633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55785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[sales_report_dashboard.xlsx]Salesperson leaderboard!PivotTable3</c:name>
    <c:fmtId val="0"/>
  </c:pivotSource>
  <c:chart>
    <c:title>
      <c:tx>
        <c:rich>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r>
              <a:rPr lang="en-IN" sz="1400" b="1" i="0" u="none" strike="noStrike" cap="none" baseline="0">
                <a:solidFill>
                  <a:schemeClr val="bg1"/>
                </a:solidFill>
              </a:rPr>
              <a:t>Salesperson leaderboard</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'Salesperson leaderboard'!$B$1</c:f>
              <c:strCache>
                <c:ptCount val="1"/>
                <c:pt idx="0">
                  <c:v>Sum of Net Sales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'Salesperson leaderboard'!$A$2:$A$7</c:f>
              <c:strCache>
                <c:ptCount val="5"/>
                <c:pt idx="0">
                  <c:v>Ethan</c:v>
                </c:pt>
                <c:pt idx="1">
                  <c:v>Bob</c:v>
                </c:pt>
                <c:pt idx="2">
                  <c:v>Alice</c:v>
                </c:pt>
                <c:pt idx="3">
                  <c:v>Charlie</c:v>
                </c:pt>
                <c:pt idx="4">
                  <c:v>Diana</c:v>
                </c:pt>
              </c:strCache>
            </c:strRef>
          </c:cat>
          <c:val>
            <c:numRef>
              <c:f>'Salesperson leaderboard'!$B$2:$B$7</c:f>
              <c:numCache>
                <c:formatCode>"₹"\ #,##0.00</c:formatCode>
                <c:ptCount val="5"/>
                <c:pt idx="0">
                  <c:v>63308.80999999999</c:v>
                </c:pt>
                <c:pt idx="1">
                  <c:v>62470</c:v>
                </c:pt>
                <c:pt idx="2">
                  <c:v>56489.079999999994</c:v>
                </c:pt>
                <c:pt idx="3">
                  <c:v>33192.480000000003</c:v>
                </c:pt>
                <c:pt idx="4">
                  <c:v>29285.300000000003</c:v>
                </c:pt>
              </c:numCache>
            </c:numRef>
          </c:val>
          <c:extLst>
            <c:ext xmlns:c16="http://schemas.microsoft.com/office/drawing/2014/chart" uri="{C3380CC4-5D6E-409C-BE32-E72D297353CC}">
              <c16:uniqueId val="{00000000-4599-4E66-98A6-DB842C1D73B8}"/>
            </c:ext>
          </c:extLst>
        </c:ser>
        <c:ser>
          <c:idx val="1"/>
          <c:order val="1"/>
          <c:tx>
            <c:strRef>
              <c:f>'Salesperson leaderboard'!$C$1</c:f>
              <c:strCache>
                <c:ptCount val="1"/>
                <c:pt idx="0">
                  <c:v>Sum of Units Sold</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'Salesperson leaderboard'!$A$2:$A$7</c:f>
              <c:strCache>
                <c:ptCount val="5"/>
                <c:pt idx="0">
                  <c:v>Ethan</c:v>
                </c:pt>
                <c:pt idx="1">
                  <c:v>Bob</c:v>
                </c:pt>
                <c:pt idx="2">
                  <c:v>Alice</c:v>
                </c:pt>
                <c:pt idx="3">
                  <c:v>Charlie</c:v>
                </c:pt>
                <c:pt idx="4">
                  <c:v>Diana</c:v>
                </c:pt>
              </c:strCache>
            </c:strRef>
          </c:cat>
          <c:val>
            <c:numRef>
              <c:f>'Salesperson leaderboard'!$C$2:$C$7</c:f>
              <c:numCache>
                <c:formatCode>0</c:formatCode>
                <c:ptCount val="5"/>
                <c:pt idx="0">
                  <c:v>108</c:v>
                </c:pt>
                <c:pt idx="1">
                  <c:v>124</c:v>
                </c:pt>
                <c:pt idx="2">
                  <c:v>125</c:v>
                </c:pt>
                <c:pt idx="3">
                  <c:v>80</c:v>
                </c:pt>
                <c:pt idx="4">
                  <c:v>61</c:v>
                </c:pt>
              </c:numCache>
            </c:numRef>
          </c:val>
          <c:extLst>
            <c:ext xmlns:c16="http://schemas.microsoft.com/office/drawing/2014/chart" uri="{C3380CC4-5D6E-409C-BE32-E72D297353CC}">
              <c16:uniqueId val="{00000001-4599-4E66-98A6-DB842C1D73B8}"/>
            </c:ext>
          </c:extLst>
        </c:ser>
        <c:dLbls>
          <c:dLblPos val="inEnd"/>
          <c:showLegendKey val="0"/>
          <c:showVal val="1"/>
          <c:showCatName val="0"/>
          <c:showSerName val="0"/>
          <c:showPercent val="0"/>
          <c:showBubbleSize val="0"/>
        </c:dLbls>
        <c:gapWidth val="182"/>
        <c:overlap val="-50"/>
        <c:axId val="1218142192"/>
        <c:axId val="1218142672"/>
      </c:barChart>
      <c:catAx>
        <c:axId val="1218142192"/>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18142672"/>
        <c:crosses val="autoZero"/>
        <c:auto val="1"/>
        <c:lblAlgn val="ctr"/>
        <c:lblOffset val="100"/>
        <c:noMultiLvlLbl val="0"/>
      </c:catAx>
      <c:valAx>
        <c:axId val="1218142672"/>
        <c:scaling>
          <c:orientation val="minMax"/>
        </c:scaling>
        <c:delete val="1"/>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quot;₹&quot;\ #,##0.00" sourceLinked="1"/>
        <c:majorTickMark val="none"/>
        <c:minorTickMark val="none"/>
        <c:tickLblPos val="nextTo"/>
        <c:crossAx val="1218142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[sales_report_dashboard.xlsx]Sales summary by month!PivotTable1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summary by month</a:t>
            </a:r>
            <a:endParaRPr lang="en-IN"/>
          </a:p>
        </c:rich>
      </c:tx>
      <c:layout>
        <c:manualLayout>
          <c:xMode val="edge"/>
          <c:yMode val="edge"/>
          <c:x val="0.29313888888888889"/>
          <c:y val="1.367521612943286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10870516185478"/>
          <c:y val="0.1111111111111111"/>
          <c:w val="0.60677887139107622"/>
          <c:h val="0.80393008165645963"/>
        </c:manualLayout>
      </c:layout>
      <c:lineChart>
        <c:grouping val="standard"/>
        <c:varyColors val="0"/>
        <c:ser>
          <c:idx val="0"/>
          <c:order val="0"/>
          <c:tx>
            <c:strRef>
              <c:f>'Sales summary by month'!$B$1</c:f>
              <c:strCache>
                <c:ptCount val="1"/>
                <c:pt idx="0">
                  <c:v>Sum of Total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'Sales summary by month'!$A$2:$A$14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summary by month'!$B$2:$B$14</c:f>
              <c:numCache>
                <c:formatCode>"₹"\ #,##0.00</c:formatCode>
                <c:ptCount val="12"/>
                <c:pt idx="0">
                  <c:v>15555.99</c:v>
                </c:pt>
                <c:pt idx="1">
                  <c:v>30541.08</c:v>
                </c:pt>
                <c:pt idx="2">
                  <c:v>53642.54</c:v>
                </c:pt>
                <c:pt idx="3">
                  <c:v>23051</c:v>
                </c:pt>
                <c:pt idx="4">
                  <c:v>9921.92</c:v>
                </c:pt>
                <c:pt idx="5">
                  <c:v>13644.580000000002</c:v>
                </c:pt>
                <c:pt idx="6">
                  <c:v>42016.91</c:v>
                </c:pt>
                <c:pt idx="7">
                  <c:v>10857.7</c:v>
                </c:pt>
                <c:pt idx="8">
                  <c:v>13441.74</c:v>
                </c:pt>
                <c:pt idx="9">
                  <c:v>23452.739999999998</c:v>
                </c:pt>
                <c:pt idx="10">
                  <c:v>11159.5</c:v>
                </c:pt>
                <c:pt idx="11">
                  <c:v>29059.93</c:v>
                </c:pt>
              </c:numCache>
            </c:numRef>
          </c:val>
          <c:smooth val="0"/>
          <c:extLst>
            <c:ext xmlns:c16="http://schemas.microsoft.com/office/drawing/2014/chart" uri="{C3380CC4-5D6E-409C-BE32-E72D297353CC}">
              <c16:uniqueId val="{00000000-9A57-4D57-8F9A-655B2C6BD5C6}"/>
            </c:ext>
          </c:extLst>
        </c:ser>
        <c:ser>
          <c:idx val="1"/>
          <c:order val="1"/>
          <c:tx>
            <c:strRef>
              <c:f>'Sales summary by month'!$C$1</c:f>
              <c:strCache>
                <c:ptCount val="1"/>
                <c:pt idx="0">
                  <c:v>Sum of Net Sales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'Sales summary by month'!$A$2:$A$14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summary by month'!$C$2:$C$14</c:f>
              <c:numCache>
                <c:formatCode>"₹"\ #,##0.00</c:formatCode>
                <c:ptCount val="12"/>
                <c:pt idx="0">
                  <c:v>13267.23</c:v>
                </c:pt>
                <c:pt idx="1">
                  <c:v>25975.919999999998</c:v>
                </c:pt>
                <c:pt idx="2">
                  <c:v>46104.95</c:v>
                </c:pt>
                <c:pt idx="3">
                  <c:v>20368.93</c:v>
                </c:pt>
                <c:pt idx="4">
                  <c:v>8520.43</c:v>
                </c:pt>
                <c:pt idx="5">
                  <c:v>13210.560000000001</c:v>
                </c:pt>
                <c:pt idx="6">
                  <c:v>36446.46</c:v>
                </c:pt>
                <c:pt idx="7">
                  <c:v>9564.49</c:v>
                </c:pt>
                <c:pt idx="8">
                  <c:v>11930.75</c:v>
                </c:pt>
                <c:pt idx="9">
                  <c:v>20470.66</c:v>
                </c:pt>
                <c:pt idx="10">
                  <c:v>10776.18</c:v>
                </c:pt>
                <c:pt idx="11">
                  <c:v>28109.11</c:v>
                </c:pt>
              </c:numCache>
            </c:numRef>
          </c:val>
          <c:smooth val="0"/>
          <c:extLst>
            <c:ext xmlns:c16="http://schemas.microsoft.com/office/drawing/2014/chart" uri="{C3380CC4-5D6E-409C-BE32-E72D297353CC}">
              <c16:uniqueId val="{00000001-9A57-4D57-8F9A-655B2C6BD5C6}"/>
            </c:ext>
          </c:extLst>
        </c:ser>
        <c:ser>
          <c:idx val="2"/>
          <c:order val="2"/>
          <c:tx>
            <c:strRef>
              <c:f>'Sales summary by month'!$D$1</c:f>
              <c:strCache>
                <c:ptCount val="1"/>
                <c:pt idx="0">
                  <c:v>Sum of Discount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'Sales summary by month'!$A$2:$A$14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summary by month'!$D$2:$D$14</c:f>
              <c:numCache>
                <c:formatCode>"₹"\ #,##0.00</c:formatCode>
                <c:ptCount val="12"/>
                <c:pt idx="0">
                  <c:v>2288.7600000000002</c:v>
                </c:pt>
                <c:pt idx="1">
                  <c:v>4565.16</c:v>
                </c:pt>
                <c:pt idx="2">
                  <c:v>7537.59</c:v>
                </c:pt>
                <c:pt idx="3">
                  <c:v>2682.07</c:v>
                </c:pt>
                <c:pt idx="4">
                  <c:v>1401.49</c:v>
                </c:pt>
                <c:pt idx="5">
                  <c:v>434.02</c:v>
                </c:pt>
                <c:pt idx="6">
                  <c:v>5570.45</c:v>
                </c:pt>
                <c:pt idx="7">
                  <c:v>1293.2099999999998</c:v>
                </c:pt>
                <c:pt idx="8">
                  <c:v>1510.9899999999998</c:v>
                </c:pt>
                <c:pt idx="9">
                  <c:v>2982.0800000000004</c:v>
                </c:pt>
                <c:pt idx="10">
                  <c:v>383.32</c:v>
                </c:pt>
                <c:pt idx="11">
                  <c:v>950.81999999999994</c:v>
                </c:pt>
              </c:numCache>
            </c:numRef>
          </c:val>
          <c:smooth val="0"/>
          <c:extLst>
            <c:ext xmlns:c16="http://schemas.microsoft.com/office/drawing/2014/chart" uri="{C3380CC4-5D6E-409C-BE32-E72D297353CC}">
              <c16:uniqueId val="{00000002-9A57-4D57-8F9A-655B2C6BD5C6}"/>
            </c:ext>
          </c:extLst>
        </c:ser>
        <c:dLbls>
          <c:showLegendKey val="0"/>
          <c:showVal val="0"/>
          <c:showCatName val="0"/>
          <c:showSerName val="0"/>
          <c:showPercent val="0"/>
          <c:showBubbleSize val="0"/>
        </c:dLbls>
        <c:marker val="1"/>
        <c:smooth val="0"/>
        <c:axId val="355788256"/>
        <c:axId val="355794016"/>
      </c:lineChart>
      <c:catAx>
        <c:axId val="355788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794016"/>
        <c:crosses val="autoZero"/>
        <c:auto val="1"/>
        <c:lblAlgn val="ctr"/>
        <c:lblOffset val="100"/>
        <c:noMultiLvlLbl val="0"/>
      </c:catAx>
      <c:valAx>
        <c:axId val="3557940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788256"/>
        <c:crosses val="autoZero"/>
        <c:crossBetween val="between"/>
      </c:valAx>
      <c:spPr>
        <a:noFill/>
        <a:ln>
          <a:noFill/>
        </a:ln>
        <a:effectLst/>
      </c:spPr>
    </c:plotArea>
    <c:legend>
      <c:legendPos val="r"/>
      <c:layout>
        <c:manualLayout>
          <c:xMode val="edge"/>
          <c:yMode val="edge"/>
          <c:x val="0.78422090988626436"/>
          <c:y val="0.39207093904928553"/>
          <c:w val="0.19911242344706911"/>
          <c:h val="0.225117381160688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[sales_report_dashboard.xlsx]Region and product performance!PivotTable2</c:name>
    <c:fmtId val="5"/>
  </c:pivotSource>
  <c:chart>
    <c:title>
      <c:tx>
        <c:rich>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r>
              <a:rPr lang="en-IN" sz="1400" b="1" i="0" u="none" strike="noStrike" cap="none" baseline="0">
                <a:solidFill>
                  <a:schemeClr val="bg1"/>
                </a:solidFill>
              </a:rPr>
              <a:t>Region and product performance</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en-IN"/>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and product performance'!$B$2</c:f>
              <c:strCache>
                <c:ptCount val="1"/>
                <c:pt idx="0">
                  <c:v>Sum of Net Sales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multiLvlStrRef>
              <c:f>'Region and product performance'!$A$3:$A$27</c:f>
              <c:multiLvlStrCache>
                <c:ptCount val="20"/>
                <c:lvl>
                  <c:pt idx="0">
                    <c:v>Laptop</c:v>
                  </c:pt>
                  <c:pt idx="1">
                    <c:v>Monitor</c:v>
                  </c:pt>
                  <c:pt idx="2">
                    <c:v>Printer</c:v>
                  </c:pt>
                  <c:pt idx="3">
                    <c:v>Smartphone</c:v>
                  </c:pt>
                  <c:pt idx="4">
                    <c:v>Tablet</c:v>
                  </c:pt>
                  <c:pt idx="5">
                    <c:v>Laptop</c:v>
                  </c:pt>
                  <c:pt idx="6">
                    <c:v>Monitor</c:v>
                  </c:pt>
                  <c:pt idx="7">
                    <c:v>Printer</c:v>
                  </c:pt>
                  <c:pt idx="8">
                    <c:v>Smartphone</c:v>
                  </c:pt>
                  <c:pt idx="9">
                    <c:v>Tablet</c:v>
                  </c:pt>
                  <c:pt idx="10">
                    <c:v>Laptop</c:v>
                  </c:pt>
                  <c:pt idx="11">
                    <c:v>Monitor</c:v>
                  </c:pt>
                  <c:pt idx="12">
                    <c:v>Printer</c:v>
                  </c:pt>
                  <c:pt idx="13">
                    <c:v>Smartphone</c:v>
                  </c:pt>
                  <c:pt idx="14">
                    <c:v>Tablet</c:v>
                  </c:pt>
                  <c:pt idx="15">
                    <c:v>Laptop</c:v>
                  </c:pt>
                  <c:pt idx="16">
                    <c:v>Monitor</c:v>
                  </c:pt>
                  <c:pt idx="17">
                    <c:v>Printer</c:v>
                  </c:pt>
                  <c:pt idx="18">
                    <c:v>Smartphone</c:v>
                  </c:pt>
                  <c:pt idx="19">
                    <c:v>Tablet</c:v>
                  </c:pt>
                </c:lvl>
                <c:lvl>
                  <c:pt idx="0">
                    <c:v>East</c:v>
                  </c:pt>
                  <c:pt idx="5">
                    <c:v>North</c:v>
                  </c:pt>
                  <c:pt idx="10">
                    <c:v>South</c:v>
                  </c:pt>
                  <c:pt idx="15">
                    <c:v>West</c:v>
                  </c:pt>
                </c:lvl>
              </c:multiLvlStrCache>
            </c:multiLvlStrRef>
          </c:cat>
          <c:val>
            <c:numRef>
              <c:f>'Region and product performance'!$B$3:$B$27</c:f>
              <c:numCache>
                <c:formatCode>"₹"\ #,##0.00</c:formatCode>
                <c:ptCount val="20"/>
                <c:pt idx="0">
                  <c:v>19524.68</c:v>
                </c:pt>
                <c:pt idx="1">
                  <c:v>11582.91</c:v>
                </c:pt>
                <c:pt idx="2">
                  <c:v>29907.690000000002</c:v>
                </c:pt>
                <c:pt idx="3">
                  <c:v>7485.38</c:v>
                </c:pt>
                <c:pt idx="4">
                  <c:v>13942.64</c:v>
                </c:pt>
                <c:pt idx="5">
                  <c:v>9144.75</c:v>
                </c:pt>
                <c:pt idx="6">
                  <c:v>14063.84</c:v>
                </c:pt>
                <c:pt idx="7">
                  <c:v>8706.52</c:v>
                </c:pt>
                <c:pt idx="8">
                  <c:v>9255.43</c:v>
                </c:pt>
                <c:pt idx="9">
                  <c:v>23738.54</c:v>
                </c:pt>
                <c:pt idx="10">
                  <c:v>26374.720000000001</c:v>
                </c:pt>
                <c:pt idx="11">
                  <c:v>6713.34</c:v>
                </c:pt>
                <c:pt idx="12">
                  <c:v>4616.84</c:v>
                </c:pt>
                <c:pt idx="13">
                  <c:v>17168.68</c:v>
                </c:pt>
                <c:pt idx="14">
                  <c:v>7715.59</c:v>
                </c:pt>
                <c:pt idx="15">
                  <c:v>2479.08</c:v>
                </c:pt>
                <c:pt idx="16">
                  <c:v>17964.420000000002</c:v>
                </c:pt>
                <c:pt idx="17">
                  <c:v>975.3</c:v>
                </c:pt>
                <c:pt idx="18">
                  <c:v>7718.5599999999995</c:v>
                </c:pt>
                <c:pt idx="19">
                  <c:v>5666.76</c:v>
                </c:pt>
              </c:numCache>
            </c:numRef>
          </c:val>
          <c:extLst>
            <c:ext xmlns:c16="http://schemas.microsoft.com/office/drawing/2014/chart" uri="{C3380CC4-5D6E-409C-BE32-E72D297353CC}">
              <c16:uniqueId val="{00000000-07E3-4046-BFF7-04FC84A18642}"/>
            </c:ext>
          </c:extLst>
        </c:ser>
        <c:ser>
          <c:idx val="1"/>
          <c:order val="1"/>
          <c:tx>
            <c:strRef>
              <c:f>'Region and product performance'!$C$2</c:f>
              <c:strCache>
                <c:ptCount val="1"/>
                <c:pt idx="0">
                  <c:v>Sum of Units Sold</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multiLvlStrRef>
              <c:f>'Region and product performance'!$A$3:$A$27</c:f>
              <c:multiLvlStrCache>
                <c:ptCount val="20"/>
                <c:lvl>
                  <c:pt idx="0">
                    <c:v>Laptop</c:v>
                  </c:pt>
                  <c:pt idx="1">
                    <c:v>Monitor</c:v>
                  </c:pt>
                  <c:pt idx="2">
                    <c:v>Printer</c:v>
                  </c:pt>
                  <c:pt idx="3">
                    <c:v>Smartphone</c:v>
                  </c:pt>
                  <c:pt idx="4">
                    <c:v>Tablet</c:v>
                  </c:pt>
                  <c:pt idx="5">
                    <c:v>Laptop</c:v>
                  </c:pt>
                  <c:pt idx="6">
                    <c:v>Monitor</c:v>
                  </c:pt>
                  <c:pt idx="7">
                    <c:v>Printer</c:v>
                  </c:pt>
                  <c:pt idx="8">
                    <c:v>Smartphone</c:v>
                  </c:pt>
                  <c:pt idx="9">
                    <c:v>Tablet</c:v>
                  </c:pt>
                  <c:pt idx="10">
                    <c:v>Laptop</c:v>
                  </c:pt>
                  <c:pt idx="11">
                    <c:v>Monitor</c:v>
                  </c:pt>
                  <c:pt idx="12">
                    <c:v>Printer</c:v>
                  </c:pt>
                  <c:pt idx="13">
                    <c:v>Smartphone</c:v>
                  </c:pt>
                  <c:pt idx="14">
                    <c:v>Tablet</c:v>
                  </c:pt>
                  <c:pt idx="15">
                    <c:v>Laptop</c:v>
                  </c:pt>
                  <c:pt idx="16">
                    <c:v>Monitor</c:v>
                  </c:pt>
                  <c:pt idx="17">
                    <c:v>Printer</c:v>
                  </c:pt>
                  <c:pt idx="18">
                    <c:v>Smartphone</c:v>
                  </c:pt>
                  <c:pt idx="19">
                    <c:v>Tablet</c:v>
                  </c:pt>
                </c:lvl>
                <c:lvl>
                  <c:pt idx="0">
                    <c:v>East</c:v>
                  </c:pt>
                  <c:pt idx="5">
                    <c:v>North</c:v>
                  </c:pt>
                  <c:pt idx="10">
                    <c:v>South</c:v>
                  </c:pt>
                  <c:pt idx="15">
                    <c:v>West</c:v>
                  </c:pt>
                </c:lvl>
              </c:multiLvlStrCache>
            </c:multiLvlStrRef>
          </c:cat>
          <c:val>
            <c:numRef>
              <c:f>'Region and product performance'!$C$3:$C$27</c:f>
              <c:numCache>
                <c:formatCode>0</c:formatCode>
                <c:ptCount val="20"/>
                <c:pt idx="0">
                  <c:v>38</c:v>
                </c:pt>
                <c:pt idx="1">
                  <c:v>18</c:v>
                </c:pt>
                <c:pt idx="2">
                  <c:v>38</c:v>
                </c:pt>
                <c:pt idx="3">
                  <c:v>20</c:v>
                </c:pt>
                <c:pt idx="4">
                  <c:v>38</c:v>
                </c:pt>
                <c:pt idx="5">
                  <c:v>29</c:v>
                </c:pt>
                <c:pt idx="6">
                  <c:v>23</c:v>
                </c:pt>
                <c:pt idx="7">
                  <c:v>20</c:v>
                </c:pt>
                <c:pt idx="8">
                  <c:v>34</c:v>
                </c:pt>
                <c:pt idx="9">
                  <c:v>37</c:v>
                </c:pt>
                <c:pt idx="10">
                  <c:v>38</c:v>
                </c:pt>
                <c:pt idx="11">
                  <c:v>28</c:v>
                </c:pt>
                <c:pt idx="12">
                  <c:v>16</c:v>
                </c:pt>
                <c:pt idx="13">
                  <c:v>24</c:v>
                </c:pt>
                <c:pt idx="14">
                  <c:v>12</c:v>
                </c:pt>
                <c:pt idx="15">
                  <c:v>6</c:v>
                </c:pt>
                <c:pt idx="16">
                  <c:v>42</c:v>
                </c:pt>
                <c:pt idx="17">
                  <c:v>5</c:v>
                </c:pt>
                <c:pt idx="18">
                  <c:v>17</c:v>
                </c:pt>
                <c:pt idx="19">
                  <c:v>15</c:v>
                </c:pt>
              </c:numCache>
            </c:numRef>
          </c:val>
          <c:extLst>
            <c:ext xmlns:c16="http://schemas.microsoft.com/office/drawing/2014/chart" uri="{C3380CC4-5D6E-409C-BE32-E72D297353CC}">
              <c16:uniqueId val="{00000001-07E3-4046-BFF7-04FC84A18642}"/>
            </c:ext>
          </c:extLst>
        </c:ser>
        <c:dLbls>
          <c:showLegendKey val="0"/>
          <c:showVal val="0"/>
          <c:showCatName val="0"/>
          <c:showSerName val="0"/>
          <c:showPercent val="0"/>
          <c:showBubbleSize val="0"/>
        </c:dLbls>
        <c:gapWidth val="315"/>
        <c:overlap val="-40"/>
        <c:axId val="355785376"/>
        <c:axId val="355786336"/>
      </c:barChart>
      <c:catAx>
        <c:axId val="35578537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w="6350" cap="flat" cmpd="sng" algn="ctr">
            <a:solidFill>
              <a:schemeClr val="accent1"/>
            </a:solidFill>
            <a:prstDash val="solid"/>
            <a:miter lim="800000"/>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55786336"/>
        <c:crosses val="autoZero"/>
        <c:auto val="1"/>
        <c:lblAlgn val="ctr"/>
        <c:lblOffset val="100"/>
        <c:noMultiLvlLbl val="0"/>
      </c:catAx>
      <c:valAx>
        <c:axId val="35578633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55785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[sales_report_dashboard.xlsx]Salesperson leaderboard!PivotTable3</c:name>
    <c:fmtId val="6"/>
  </c:pivotSource>
  <c:chart>
    <c:title>
      <c:tx>
        <c:rich>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r>
              <a:rPr lang="en-IN" sz="1400" b="1" i="0" u="none" strike="noStrike" cap="none" baseline="0">
                <a:solidFill>
                  <a:schemeClr val="bg1"/>
                </a:solidFill>
              </a:rPr>
              <a:t>Salesperson leaderboard</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en-IN"/>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'Salesperson leaderboard'!$B$1</c:f>
              <c:strCache>
                <c:ptCount val="1"/>
                <c:pt idx="0">
                  <c:v>Sum of Net Sales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'Salesperson leaderboard'!$A$2:$A$7</c:f>
              <c:strCache>
                <c:ptCount val="5"/>
                <c:pt idx="0">
                  <c:v>Ethan</c:v>
                </c:pt>
                <c:pt idx="1">
                  <c:v>Bob</c:v>
                </c:pt>
                <c:pt idx="2">
                  <c:v>Alice</c:v>
                </c:pt>
                <c:pt idx="3">
                  <c:v>Charlie</c:v>
                </c:pt>
                <c:pt idx="4">
                  <c:v>Diana</c:v>
                </c:pt>
              </c:strCache>
            </c:strRef>
          </c:cat>
          <c:val>
            <c:numRef>
              <c:f>'Salesperson leaderboard'!$B$2:$B$7</c:f>
              <c:numCache>
                <c:formatCode>"₹"\ #,##0.00</c:formatCode>
                <c:ptCount val="5"/>
                <c:pt idx="0">
                  <c:v>63308.80999999999</c:v>
                </c:pt>
                <c:pt idx="1">
                  <c:v>62470</c:v>
                </c:pt>
                <c:pt idx="2">
                  <c:v>56489.079999999994</c:v>
                </c:pt>
                <c:pt idx="3">
                  <c:v>33192.480000000003</c:v>
                </c:pt>
                <c:pt idx="4">
                  <c:v>29285.300000000003</c:v>
                </c:pt>
              </c:numCache>
            </c:numRef>
          </c:val>
          <c:extLst>
            <c:ext xmlns:c16="http://schemas.microsoft.com/office/drawing/2014/chart" uri="{C3380CC4-5D6E-409C-BE32-E72D297353CC}">
              <c16:uniqueId val="{00000000-EAE7-443C-8865-9935D728EAEC}"/>
            </c:ext>
          </c:extLst>
        </c:ser>
        <c:ser>
          <c:idx val="1"/>
          <c:order val="1"/>
          <c:tx>
            <c:strRef>
              <c:f>'Salesperson leaderboard'!$C$1</c:f>
              <c:strCache>
                <c:ptCount val="1"/>
                <c:pt idx="0">
                  <c:v>Sum of Units Sold</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'Salesperson leaderboard'!$A$2:$A$7</c:f>
              <c:strCache>
                <c:ptCount val="5"/>
                <c:pt idx="0">
                  <c:v>Ethan</c:v>
                </c:pt>
                <c:pt idx="1">
                  <c:v>Bob</c:v>
                </c:pt>
                <c:pt idx="2">
                  <c:v>Alice</c:v>
                </c:pt>
                <c:pt idx="3">
                  <c:v>Charlie</c:v>
                </c:pt>
                <c:pt idx="4">
                  <c:v>Diana</c:v>
                </c:pt>
              </c:strCache>
            </c:strRef>
          </c:cat>
          <c:val>
            <c:numRef>
              <c:f>'Salesperson leaderboard'!$C$2:$C$7</c:f>
              <c:numCache>
                <c:formatCode>0</c:formatCode>
                <c:ptCount val="5"/>
                <c:pt idx="0">
                  <c:v>108</c:v>
                </c:pt>
                <c:pt idx="1">
                  <c:v>124</c:v>
                </c:pt>
                <c:pt idx="2">
                  <c:v>125</c:v>
                </c:pt>
                <c:pt idx="3">
                  <c:v>80</c:v>
                </c:pt>
                <c:pt idx="4">
                  <c:v>61</c:v>
                </c:pt>
              </c:numCache>
            </c:numRef>
          </c:val>
          <c:extLst>
            <c:ext xmlns:c16="http://schemas.microsoft.com/office/drawing/2014/chart" uri="{C3380CC4-5D6E-409C-BE32-E72D297353CC}">
              <c16:uniqueId val="{00000001-EAE7-443C-8865-9935D728EAEC}"/>
            </c:ext>
          </c:extLst>
        </c:ser>
        <c:dLbls>
          <c:dLblPos val="inEnd"/>
          <c:showLegendKey val="0"/>
          <c:showVal val="1"/>
          <c:showCatName val="0"/>
          <c:showSerName val="0"/>
          <c:showPercent val="0"/>
          <c:showBubbleSize val="0"/>
        </c:dLbls>
        <c:gapWidth val="182"/>
        <c:overlap val="-50"/>
        <c:axId val="1218142192"/>
        <c:axId val="1218142672"/>
      </c:barChart>
      <c:catAx>
        <c:axId val="1218142192"/>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18142672"/>
        <c:crosses val="autoZero"/>
        <c:auto val="1"/>
        <c:lblAlgn val="ctr"/>
        <c:lblOffset val="100"/>
        <c:noMultiLvlLbl val="0"/>
      </c:catAx>
      <c:valAx>
        <c:axId val="1218142672"/>
        <c:scaling>
          <c:orientation val="minMax"/>
        </c:scaling>
        <c:delete val="1"/>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quot;₹&quot;\ #,##0.00" sourceLinked="1"/>
        <c:majorTickMark val="none"/>
        <c:minorTickMark val="none"/>
        <c:tickLblPos val="nextTo"/>
        <c:crossAx val="1218142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47625</xdr:colOff>
      <xdr:row>4</xdr:row>
      <xdr:rowOff>85724</xdr:rowOff>
    </xdr:from>
    <xdr:to>
      <xdr:col>11</xdr:col>
      <xdr:colOff>371475</xdr:colOff>
      <xdr:row>7</xdr:row>
      <xdr:rowOff>47625</xdr:rowOff>
    </xdr:to>
    <xdr:sp macro="" textlink="">
      <xdr:nvSpPr>
        <xdr:cNvPr id="3" name="Rectangle 2">
          <a:extLst>
            <a:ext uri="{FF2B5EF4-FFF2-40B4-BE49-F238E27FC236}">
              <a16:creationId xmlns:a16="http://schemas.microsoft.com/office/drawing/2014/main" id="{4BBA3BDD-170C-0F80-A813-17C8DC044524}"/>
            </a:ext>
          </a:extLst>
        </xdr:cNvPr>
        <xdr:cNvSpPr/>
      </xdr:nvSpPr>
      <xdr:spPr>
        <a:xfrm>
          <a:off x="7562850" y="876299"/>
          <a:ext cx="1543050" cy="53340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400"/>
            <a:t>Total Sale</a:t>
          </a:r>
        </a:p>
        <a:p>
          <a:pPr algn="ctr"/>
          <a:r>
            <a:rPr lang="en-IN" sz="1400" b="0" i="0" u="none" strike="noStrike">
              <a:solidFill>
                <a:schemeClr val="dk1"/>
              </a:solidFill>
              <a:effectLst/>
              <a:latin typeface="+mn-lt"/>
              <a:ea typeface="+mn-ea"/>
              <a:cs typeface="+mn-cs"/>
            </a:rPr>
            <a:t>₹ 2,76,345.63</a:t>
          </a:r>
          <a:r>
            <a:rPr lang="en-IN" sz="1400">
              <a:effectLst/>
            </a:rPr>
            <a:t> </a:t>
          </a:r>
          <a:endParaRPr lang="en-IN" sz="1400"/>
        </a:p>
      </xdr:txBody>
    </xdr:sp>
    <xdr:clientData/>
  </xdr:twoCellAnchor>
  <xdr:twoCellAnchor>
    <xdr:from>
      <xdr:col>11</xdr:col>
      <xdr:colOff>552450</xdr:colOff>
      <xdr:row>7</xdr:row>
      <xdr:rowOff>133350</xdr:rowOff>
    </xdr:from>
    <xdr:to>
      <xdr:col>14</xdr:col>
      <xdr:colOff>266700</xdr:colOff>
      <xdr:row>10</xdr:row>
      <xdr:rowOff>95251</xdr:rowOff>
    </xdr:to>
    <xdr:sp macro="" textlink="">
      <xdr:nvSpPr>
        <xdr:cNvPr id="5" name="Rectangle 4">
          <a:extLst>
            <a:ext uri="{FF2B5EF4-FFF2-40B4-BE49-F238E27FC236}">
              <a16:creationId xmlns:a16="http://schemas.microsoft.com/office/drawing/2014/main" id="{38E04510-B8D1-4C71-A3FB-B3AFC44BE10D}"/>
            </a:ext>
          </a:extLst>
        </xdr:cNvPr>
        <xdr:cNvSpPr/>
      </xdr:nvSpPr>
      <xdr:spPr>
        <a:xfrm>
          <a:off x="9286875" y="1495425"/>
          <a:ext cx="1543050" cy="53340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400"/>
            <a:t>Net</a:t>
          </a:r>
          <a:r>
            <a:rPr lang="en-IN" sz="1400" baseline="0"/>
            <a:t> Sale</a:t>
          </a:r>
          <a:endParaRPr lang="en-IN" sz="1400"/>
        </a:p>
        <a:p>
          <a:pPr algn="ctr"/>
          <a:r>
            <a:rPr lang="en-IN" sz="1400" b="0" i="0" u="none" strike="noStrike">
              <a:solidFill>
                <a:schemeClr val="dk1"/>
              </a:solidFill>
              <a:effectLst/>
              <a:latin typeface="+mn-lt"/>
              <a:ea typeface="+mn-ea"/>
              <a:cs typeface="+mn-cs"/>
            </a:rPr>
            <a:t>₹ 2,44,745.67</a:t>
          </a:r>
          <a:r>
            <a:rPr lang="en-IN" sz="1400">
              <a:effectLst/>
            </a:rPr>
            <a:t> </a:t>
          </a:r>
          <a:endParaRPr lang="en-IN" sz="1400"/>
        </a:p>
      </xdr:txBody>
    </xdr:sp>
    <xdr:clientData/>
  </xdr:twoCellAnchor>
  <xdr:twoCellAnchor>
    <xdr:from>
      <xdr:col>9</xdr:col>
      <xdr:colOff>66675</xdr:colOff>
      <xdr:row>7</xdr:row>
      <xdr:rowOff>152400</xdr:rowOff>
    </xdr:from>
    <xdr:to>
      <xdr:col>11</xdr:col>
      <xdr:colOff>390525</xdr:colOff>
      <xdr:row>10</xdr:row>
      <xdr:rowOff>114301</xdr:rowOff>
    </xdr:to>
    <xdr:sp macro="" textlink="">
      <xdr:nvSpPr>
        <xdr:cNvPr id="7" name="Rectangle 6">
          <a:extLst>
            <a:ext uri="{FF2B5EF4-FFF2-40B4-BE49-F238E27FC236}">
              <a16:creationId xmlns:a16="http://schemas.microsoft.com/office/drawing/2014/main" id="{91C0785A-3CE2-4587-8928-8A6EAFD48210}"/>
            </a:ext>
          </a:extLst>
        </xdr:cNvPr>
        <xdr:cNvSpPr/>
      </xdr:nvSpPr>
      <xdr:spPr>
        <a:xfrm>
          <a:off x="7581900" y="1514475"/>
          <a:ext cx="1543050" cy="53340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400"/>
            <a:t>Avg</a:t>
          </a:r>
          <a:r>
            <a:rPr lang="en-IN" sz="1400" baseline="0"/>
            <a:t> Discount</a:t>
          </a:r>
          <a:endParaRPr lang="en-IN" sz="1400"/>
        </a:p>
        <a:p>
          <a:pPr algn="ctr"/>
          <a:r>
            <a:rPr lang="en-IN" sz="1400" b="0" i="0" u="none" strike="noStrike">
              <a:solidFill>
                <a:schemeClr val="dk1"/>
              </a:solidFill>
              <a:effectLst/>
              <a:latin typeface="+mn-lt"/>
              <a:ea typeface="+mn-ea"/>
              <a:cs typeface="+mn-cs"/>
            </a:rPr>
            <a:t>₹ 632.00</a:t>
          </a:r>
          <a:r>
            <a:rPr lang="en-IN" sz="1400">
              <a:effectLst/>
            </a:rPr>
            <a:t>  </a:t>
          </a:r>
          <a:endParaRPr lang="en-IN" sz="1400"/>
        </a:p>
      </xdr:txBody>
    </xdr:sp>
    <xdr:clientData/>
  </xdr:twoCellAnchor>
  <xdr:twoCellAnchor>
    <xdr:from>
      <xdr:col>11</xdr:col>
      <xdr:colOff>523875</xdr:colOff>
      <xdr:row>4</xdr:row>
      <xdr:rowOff>76200</xdr:rowOff>
    </xdr:from>
    <xdr:to>
      <xdr:col>14</xdr:col>
      <xdr:colOff>238125</xdr:colOff>
      <xdr:row>7</xdr:row>
      <xdr:rowOff>38101</xdr:rowOff>
    </xdr:to>
    <xdr:sp macro="" textlink="">
      <xdr:nvSpPr>
        <xdr:cNvPr id="9" name="Rectangle 8">
          <a:extLst>
            <a:ext uri="{FF2B5EF4-FFF2-40B4-BE49-F238E27FC236}">
              <a16:creationId xmlns:a16="http://schemas.microsoft.com/office/drawing/2014/main" id="{B5240D9C-9246-4228-AF47-75026173C629}"/>
            </a:ext>
          </a:extLst>
        </xdr:cNvPr>
        <xdr:cNvSpPr/>
      </xdr:nvSpPr>
      <xdr:spPr>
        <a:xfrm>
          <a:off x="9258300" y="866775"/>
          <a:ext cx="1543050" cy="53340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400" b="0" i="0" u="none" strike="noStrike">
              <a:solidFill>
                <a:schemeClr val="dk1"/>
              </a:solidFill>
              <a:effectLst/>
              <a:latin typeface="+mn-lt"/>
              <a:ea typeface="+mn-ea"/>
              <a:cs typeface="+mn-cs"/>
            </a:rPr>
            <a:t>Units</a:t>
          </a:r>
          <a:r>
            <a:rPr lang="en-IN" sz="1400" b="0" i="0" u="none" strike="noStrike" baseline="0">
              <a:solidFill>
                <a:schemeClr val="dk1"/>
              </a:solidFill>
              <a:effectLst/>
              <a:latin typeface="+mn-lt"/>
              <a:ea typeface="+mn-ea"/>
              <a:cs typeface="+mn-cs"/>
            </a:rPr>
            <a:t> Sold</a:t>
          </a:r>
        </a:p>
        <a:p>
          <a:pPr algn="ctr"/>
          <a:r>
            <a:rPr lang="en-IN" sz="1400" b="0" i="0" u="none" strike="noStrike" baseline="0">
              <a:solidFill>
                <a:schemeClr val="dk1"/>
              </a:solidFill>
              <a:effectLst/>
              <a:latin typeface="+mn-lt"/>
              <a:ea typeface="+mn-ea"/>
              <a:cs typeface="+mn-cs"/>
            </a:rPr>
            <a:t>498</a:t>
          </a:r>
          <a:r>
            <a:rPr lang="en-IN" sz="1400">
              <a:effectLst/>
            </a:rPr>
            <a:t> </a:t>
          </a:r>
          <a:endParaRPr lang="en-IN" sz="14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133350</xdr:colOff>
      <xdr:row>0</xdr:row>
      <xdr:rowOff>142875</xdr:rowOff>
    </xdr:from>
    <xdr:to>
      <xdr:col>11</xdr:col>
      <xdr:colOff>438150</xdr:colOff>
      <xdr:row>15</xdr:row>
      <xdr:rowOff>71437</xdr:rowOff>
    </xdr:to>
    <xdr:graphicFrame macro="">
      <xdr:nvGraphicFramePr>
        <xdr:cNvPr id="2" name="Chart 1">
          <a:extLst>
            <a:ext uri="{FF2B5EF4-FFF2-40B4-BE49-F238E27FC236}">
              <a16:creationId xmlns:a16="http://schemas.microsoft.com/office/drawing/2014/main" id="{CE0369FC-4B1A-1B51-FE8A-2EA0B85017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104775</xdr:colOff>
      <xdr:row>1</xdr:row>
      <xdr:rowOff>33337</xdr:rowOff>
    </xdr:from>
    <xdr:to>
      <xdr:col>10</xdr:col>
      <xdr:colOff>409575</xdr:colOff>
      <xdr:row>15</xdr:row>
      <xdr:rowOff>109537</xdr:rowOff>
    </xdr:to>
    <xdr:graphicFrame macro="">
      <xdr:nvGraphicFramePr>
        <xdr:cNvPr id="2" name="Chart 1">
          <a:extLst>
            <a:ext uri="{FF2B5EF4-FFF2-40B4-BE49-F238E27FC236}">
              <a16:creationId xmlns:a16="http://schemas.microsoft.com/office/drawing/2014/main" id="{6F2AA0A9-414C-DA39-DAD1-802E3E0607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190500</xdr:colOff>
      <xdr:row>1</xdr:row>
      <xdr:rowOff>147637</xdr:rowOff>
    </xdr:from>
    <xdr:to>
      <xdr:col>10</xdr:col>
      <xdr:colOff>495300</xdr:colOff>
      <xdr:row>16</xdr:row>
      <xdr:rowOff>33337</xdr:rowOff>
    </xdr:to>
    <xdr:graphicFrame macro="">
      <xdr:nvGraphicFramePr>
        <xdr:cNvPr id="2" name="Chart 1">
          <a:extLst>
            <a:ext uri="{FF2B5EF4-FFF2-40B4-BE49-F238E27FC236}">
              <a16:creationId xmlns:a16="http://schemas.microsoft.com/office/drawing/2014/main" id="{FA77DD7A-CC7A-7C59-FC37-B254983881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152400</xdr:colOff>
      <xdr:row>10</xdr:row>
      <xdr:rowOff>66676</xdr:rowOff>
    </xdr:from>
    <xdr:to>
      <xdr:col>16</xdr:col>
      <xdr:colOff>361950</xdr:colOff>
      <xdr:row>19</xdr:row>
      <xdr:rowOff>47626</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0C838A78-05E1-006A-57F1-FB21BFD74AE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915525" y="1971676"/>
              <a:ext cx="1428750" cy="1695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190499</xdr:colOff>
      <xdr:row>10</xdr:row>
      <xdr:rowOff>104776</xdr:rowOff>
    </xdr:from>
    <xdr:to>
      <xdr:col>14</xdr:col>
      <xdr:colOff>28574</xdr:colOff>
      <xdr:row>19</xdr:row>
      <xdr:rowOff>85726</xdr:rowOff>
    </xdr:to>
    <mc:AlternateContent xmlns:mc="http://schemas.openxmlformats.org/markup-compatibility/2006">
      <mc:Choice xmlns:a14="http://schemas.microsoft.com/office/drawing/2010/main" Requires="a14">
        <xdr:graphicFrame macro="">
          <xdr:nvGraphicFramePr>
            <xdr:cNvPr id="4" name="Salesperson">
              <a:extLst>
                <a:ext uri="{FF2B5EF4-FFF2-40B4-BE49-F238E27FC236}">
                  <a16:creationId xmlns:a16="http://schemas.microsoft.com/office/drawing/2014/main" id="{7CE34C8C-6697-9281-84E2-24D436854032}"/>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8124824" y="2009776"/>
              <a:ext cx="1666875" cy="1695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161925</xdr:colOff>
      <xdr:row>0</xdr:row>
      <xdr:rowOff>180975</xdr:rowOff>
    </xdr:from>
    <xdr:to>
      <xdr:col>16</xdr:col>
      <xdr:colOff>323850</xdr:colOff>
      <xdr:row>9</xdr:row>
      <xdr:rowOff>152400</xdr:rowOff>
    </xdr:to>
    <mc:AlternateContent xmlns:mc="http://schemas.openxmlformats.org/markup-compatibility/2006">
      <mc:Choice xmlns:a14="http://schemas.microsoft.com/office/drawing/2010/main" Requires="a14">
        <xdr:graphicFrame macro="">
          <xdr:nvGraphicFramePr>
            <xdr:cNvPr id="5" name="Product">
              <a:extLst>
                <a:ext uri="{FF2B5EF4-FFF2-40B4-BE49-F238E27FC236}">
                  <a16:creationId xmlns:a16="http://schemas.microsoft.com/office/drawing/2014/main" id="{401723CD-7CA3-A682-7BC7-E315E4A49F8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9925050" y="180975"/>
              <a:ext cx="1381125" cy="1685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180976</xdr:colOff>
      <xdr:row>1</xdr:row>
      <xdr:rowOff>9526</xdr:rowOff>
    </xdr:from>
    <xdr:to>
      <xdr:col>13</xdr:col>
      <xdr:colOff>600076</xdr:colOff>
      <xdr:row>9</xdr:row>
      <xdr:rowOff>161926</xdr:rowOff>
    </xdr:to>
    <mc:AlternateContent xmlns:mc="http://schemas.openxmlformats.org/markup-compatibility/2006">
      <mc:Choice xmlns:a14="http://schemas.microsoft.com/office/drawing/2010/main" Requires="a14">
        <xdr:graphicFrame macro="">
          <xdr:nvGraphicFramePr>
            <xdr:cNvPr id="6" name="Months (Date)">
              <a:extLst>
                <a:ext uri="{FF2B5EF4-FFF2-40B4-BE49-F238E27FC236}">
                  <a16:creationId xmlns:a16="http://schemas.microsoft.com/office/drawing/2014/main" id="{9DB071F3-AAA6-BFAB-1D60-4F7A256387CA}"/>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8115301" y="200026"/>
              <a:ext cx="1638300" cy="1676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38100</xdr:colOff>
      <xdr:row>0</xdr:row>
      <xdr:rowOff>28574</xdr:rowOff>
    </xdr:from>
    <xdr:to>
      <xdr:col>21</xdr:col>
      <xdr:colOff>275167</xdr:colOff>
      <xdr:row>24</xdr:row>
      <xdr:rowOff>179917</xdr:rowOff>
    </xdr:to>
    <xdr:sp macro="" textlink="">
      <xdr:nvSpPr>
        <xdr:cNvPr id="2" name="TextBox 1">
          <a:extLst>
            <a:ext uri="{FF2B5EF4-FFF2-40B4-BE49-F238E27FC236}">
              <a16:creationId xmlns:a16="http://schemas.microsoft.com/office/drawing/2014/main" id="{695213F7-A595-9481-90D2-89B24D805FD7}"/>
            </a:ext>
          </a:extLst>
        </xdr:cNvPr>
        <xdr:cNvSpPr txBox="1"/>
      </xdr:nvSpPr>
      <xdr:spPr>
        <a:xfrm>
          <a:off x="38100" y="28574"/>
          <a:ext cx="13127567" cy="4723343"/>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0</xdr:col>
      <xdr:colOff>152400</xdr:colOff>
      <xdr:row>0</xdr:row>
      <xdr:rowOff>104775</xdr:rowOff>
    </xdr:from>
    <xdr:to>
      <xdr:col>21</xdr:col>
      <xdr:colOff>158750</xdr:colOff>
      <xdr:row>2</xdr:row>
      <xdr:rowOff>19050</xdr:rowOff>
    </xdr:to>
    <xdr:sp macro="" textlink="">
      <xdr:nvSpPr>
        <xdr:cNvPr id="3" name="Rectangle 2">
          <a:extLst>
            <a:ext uri="{FF2B5EF4-FFF2-40B4-BE49-F238E27FC236}">
              <a16:creationId xmlns:a16="http://schemas.microsoft.com/office/drawing/2014/main" id="{FAB3385F-C7A4-326A-5CA4-CCA66B38EF8C}"/>
            </a:ext>
          </a:extLst>
        </xdr:cNvPr>
        <xdr:cNvSpPr/>
      </xdr:nvSpPr>
      <xdr:spPr>
        <a:xfrm>
          <a:off x="152400" y="104775"/>
          <a:ext cx="12896850" cy="295275"/>
        </a:xfrm>
        <a:prstGeom prst="rect">
          <a:avLst/>
        </a:prstGeom>
        <a:solidFill>
          <a:schemeClr val="bg2">
            <a:lumMod val="5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600" b="1">
              <a:solidFill>
                <a:schemeClr val="bg1"/>
              </a:solidFill>
            </a:rPr>
            <a:t>Sales Performance Dashboard – 2025</a:t>
          </a:r>
        </a:p>
      </xdr:txBody>
    </xdr:sp>
    <xdr:clientData/>
  </xdr:twoCellAnchor>
  <xdr:twoCellAnchor>
    <xdr:from>
      <xdr:col>7</xdr:col>
      <xdr:colOff>210607</xdr:colOff>
      <xdr:row>2</xdr:row>
      <xdr:rowOff>139700</xdr:rowOff>
    </xdr:from>
    <xdr:to>
      <xdr:col>15</xdr:col>
      <xdr:colOff>285749</xdr:colOff>
      <xdr:row>15</xdr:row>
      <xdr:rowOff>0</xdr:rowOff>
    </xdr:to>
    <xdr:graphicFrame macro="">
      <xdr:nvGraphicFramePr>
        <xdr:cNvPr id="4" name="Chart 3">
          <a:extLst>
            <a:ext uri="{FF2B5EF4-FFF2-40B4-BE49-F238E27FC236}">
              <a16:creationId xmlns:a16="http://schemas.microsoft.com/office/drawing/2014/main" id="{125BD1F9-5735-4431-B605-B2C0CB87BC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85725</xdr:colOff>
      <xdr:row>10</xdr:row>
      <xdr:rowOff>42333</xdr:rowOff>
    </xdr:from>
    <xdr:to>
      <xdr:col>7</xdr:col>
      <xdr:colOff>127000</xdr:colOff>
      <xdr:row>24</xdr:row>
      <xdr:rowOff>125941</xdr:rowOff>
    </xdr:to>
    <xdr:graphicFrame macro="">
      <xdr:nvGraphicFramePr>
        <xdr:cNvPr id="5" name="Chart 4">
          <a:extLst>
            <a:ext uri="{FF2B5EF4-FFF2-40B4-BE49-F238E27FC236}">
              <a16:creationId xmlns:a16="http://schemas.microsoft.com/office/drawing/2014/main" id="{C8D1E4D4-937A-42D8-832E-A3DDF4440F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254000</xdr:colOff>
      <xdr:row>15</xdr:row>
      <xdr:rowOff>84667</xdr:rowOff>
    </xdr:from>
    <xdr:to>
      <xdr:col>15</xdr:col>
      <xdr:colOff>328082</xdr:colOff>
      <xdr:row>24</xdr:row>
      <xdr:rowOff>74083</xdr:rowOff>
    </xdr:to>
    <xdr:graphicFrame macro="">
      <xdr:nvGraphicFramePr>
        <xdr:cNvPr id="7" name="Chart 6">
          <a:extLst>
            <a:ext uri="{FF2B5EF4-FFF2-40B4-BE49-F238E27FC236}">
              <a16:creationId xmlns:a16="http://schemas.microsoft.com/office/drawing/2014/main" id="{DF02D517-B4F9-448D-B42F-94C97118D7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514350</xdr:colOff>
      <xdr:row>3</xdr:row>
      <xdr:rowOff>48681</xdr:rowOff>
    </xdr:from>
    <xdr:to>
      <xdr:col>3</xdr:col>
      <xdr:colOff>215900</xdr:colOff>
      <xdr:row>6</xdr:row>
      <xdr:rowOff>10582</xdr:rowOff>
    </xdr:to>
    <xdr:sp macro="" textlink="">
      <xdr:nvSpPr>
        <xdr:cNvPr id="8" name="Rectangle 7">
          <a:extLst>
            <a:ext uri="{FF2B5EF4-FFF2-40B4-BE49-F238E27FC236}">
              <a16:creationId xmlns:a16="http://schemas.microsoft.com/office/drawing/2014/main" id="{B007949A-C592-48B0-A64A-612FEAB8BB58}"/>
            </a:ext>
          </a:extLst>
        </xdr:cNvPr>
        <xdr:cNvSpPr/>
      </xdr:nvSpPr>
      <xdr:spPr>
        <a:xfrm>
          <a:off x="514350" y="620181"/>
          <a:ext cx="1543050" cy="533401"/>
        </a:xfrm>
        <a:prstGeom prst="rect">
          <a:avLst/>
        </a:prstGeom>
        <a:solidFill>
          <a:schemeClr val="accent2">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400"/>
            <a:t>Total Sale</a:t>
          </a:r>
        </a:p>
        <a:p>
          <a:pPr algn="ctr"/>
          <a:r>
            <a:rPr lang="en-IN" sz="1400" b="0" i="0" u="none" strike="noStrike">
              <a:solidFill>
                <a:schemeClr val="dk1"/>
              </a:solidFill>
              <a:effectLst/>
              <a:latin typeface="+mn-lt"/>
              <a:ea typeface="+mn-ea"/>
              <a:cs typeface="+mn-cs"/>
            </a:rPr>
            <a:t>₹ 2,76,345.63</a:t>
          </a:r>
          <a:r>
            <a:rPr lang="en-IN" sz="1400">
              <a:effectLst/>
            </a:rPr>
            <a:t> </a:t>
          </a:r>
          <a:endParaRPr lang="en-IN" sz="1400"/>
        </a:p>
      </xdr:txBody>
    </xdr:sp>
    <xdr:clientData/>
  </xdr:twoCellAnchor>
  <xdr:twoCellAnchor>
    <xdr:from>
      <xdr:col>3</xdr:col>
      <xdr:colOff>396875</xdr:colOff>
      <xdr:row>6</xdr:row>
      <xdr:rowOff>96307</xdr:rowOff>
    </xdr:from>
    <xdr:to>
      <xdr:col>6</xdr:col>
      <xdr:colOff>98425</xdr:colOff>
      <xdr:row>9</xdr:row>
      <xdr:rowOff>58208</xdr:rowOff>
    </xdr:to>
    <xdr:sp macro="" textlink="">
      <xdr:nvSpPr>
        <xdr:cNvPr id="9" name="Rectangle 8">
          <a:extLst>
            <a:ext uri="{FF2B5EF4-FFF2-40B4-BE49-F238E27FC236}">
              <a16:creationId xmlns:a16="http://schemas.microsoft.com/office/drawing/2014/main" id="{7358271D-DD8C-483D-83F7-063B38FD9497}"/>
            </a:ext>
          </a:extLst>
        </xdr:cNvPr>
        <xdr:cNvSpPr/>
      </xdr:nvSpPr>
      <xdr:spPr>
        <a:xfrm>
          <a:off x="2238375" y="1239307"/>
          <a:ext cx="1543050" cy="533401"/>
        </a:xfrm>
        <a:prstGeom prst="rect">
          <a:avLst/>
        </a:prstGeom>
        <a:solidFill>
          <a:schemeClr val="accent2">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400"/>
            <a:t>Net</a:t>
          </a:r>
          <a:r>
            <a:rPr lang="en-IN" sz="1400" baseline="0"/>
            <a:t> Sale</a:t>
          </a:r>
          <a:endParaRPr lang="en-IN" sz="1400"/>
        </a:p>
        <a:p>
          <a:pPr algn="ctr"/>
          <a:r>
            <a:rPr lang="en-IN" sz="1400" b="0" i="0" u="none" strike="noStrike">
              <a:solidFill>
                <a:schemeClr val="dk1"/>
              </a:solidFill>
              <a:effectLst/>
              <a:latin typeface="+mn-lt"/>
              <a:ea typeface="+mn-ea"/>
              <a:cs typeface="+mn-cs"/>
            </a:rPr>
            <a:t>₹ 2,44,745.67</a:t>
          </a:r>
          <a:r>
            <a:rPr lang="en-IN" sz="1400">
              <a:effectLst/>
            </a:rPr>
            <a:t> </a:t>
          </a:r>
          <a:endParaRPr lang="en-IN" sz="1400"/>
        </a:p>
      </xdr:txBody>
    </xdr:sp>
    <xdr:clientData/>
  </xdr:twoCellAnchor>
  <xdr:twoCellAnchor>
    <xdr:from>
      <xdr:col>0</xdr:col>
      <xdr:colOff>533400</xdr:colOff>
      <xdr:row>6</xdr:row>
      <xdr:rowOff>115357</xdr:rowOff>
    </xdr:from>
    <xdr:to>
      <xdr:col>3</xdr:col>
      <xdr:colOff>234950</xdr:colOff>
      <xdr:row>9</xdr:row>
      <xdr:rowOff>77258</xdr:rowOff>
    </xdr:to>
    <xdr:sp macro="" textlink="">
      <xdr:nvSpPr>
        <xdr:cNvPr id="10" name="Rectangle 9">
          <a:extLst>
            <a:ext uri="{FF2B5EF4-FFF2-40B4-BE49-F238E27FC236}">
              <a16:creationId xmlns:a16="http://schemas.microsoft.com/office/drawing/2014/main" id="{F1ACE829-0F25-4E30-81C6-A270E19946E8}"/>
            </a:ext>
          </a:extLst>
        </xdr:cNvPr>
        <xdr:cNvSpPr/>
      </xdr:nvSpPr>
      <xdr:spPr>
        <a:xfrm>
          <a:off x="533400" y="1258357"/>
          <a:ext cx="1543050" cy="533401"/>
        </a:xfrm>
        <a:prstGeom prst="rect">
          <a:avLst/>
        </a:prstGeom>
        <a:solidFill>
          <a:schemeClr val="accent2">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400"/>
            <a:t>Avg</a:t>
          </a:r>
          <a:r>
            <a:rPr lang="en-IN" sz="1400" baseline="0"/>
            <a:t> Discount</a:t>
          </a:r>
          <a:endParaRPr lang="en-IN" sz="1400"/>
        </a:p>
        <a:p>
          <a:pPr algn="ctr"/>
          <a:r>
            <a:rPr lang="en-IN" sz="1400" b="0" i="0" u="none" strike="noStrike">
              <a:solidFill>
                <a:schemeClr val="dk1"/>
              </a:solidFill>
              <a:effectLst/>
              <a:latin typeface="+mn-lt"/>
              <a:ea typeface="+mn-ea"/>
              <a:cs typeface="+mn-cs"/>
            </a:rPr>
            <a:t>₹ 632.00</a:t>
          </a:r>
          <a:r>
            <a:rPr lang="en-IN" sz="1400">
              <a:effectLst/>
            </a:rPr>
            <a:t>  </a:t>
          </a:r>
          <a:endParaRPr lang="en-IN" sz="1400"/>
        </a:p>
      </xdr:txBody>
    </xdr:sp>
    <xdr:clientData/>
  </xdr:twoCellAnchor>
  <xdr:twoCellAnchor>
    <xdr:from>
      <xdr:col>3</xdr:col>
      <xdr:colOff>368300</xdr:colOff>
      <xdr:row>3</xdr:row>
      <xdr:rowOff>39157</xdr:rowOff>
    </xdr:from>
    <xdr:to>
      <xdr:col>6</xdr:col>
      <xdr:colOff>69850</xdr:colOff>
      <xdr:row>6</xdr:row>
      <xdr:rowOff>1058</xdr:rowOff>
    </xdr:to>
    <xdr:sp macro="" textlink="">
      <xdr:nvSpPr>
        <xdr:cNvPr id="11" name="Rectangle 10">
          <a:extLst>
            <a:ext uri="{FF2B5EF4-FFF2-40B4-BE49-F238E27FC236}">
              <a16:creationId xmlns:a16="http://schemas.microsoft.com/office/drawing/2014/main" id="{F958124B-7637-4AB1-945E-F3E3D6E9AC8D}"/>
            </a:ext>
          </a:extLst>
        </xdr:cNvPr>
        <xdr:cNvSpPr/>
      </xdr:nvSpPr>
      <xdr:spPr>
        <a:xfrm>
          <a:off x="2209800" y="610657"/>
          <a:ext cx="1543050" cy="533401"/>
        </a:xfrm>
        <a:prstGeom prst="rect">
          <a:avLst/>
        </a:prstGeom>
        <a:solidFill>
          <a:schemeClr val="accent2">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400" b="0" i="0" u="none" strike="noStrike">
              <a:solidFill>
                <a:schemeClr val="dk1"/>
              </a:solidFill>
              <a:effectLst/>
              <a:latin typeface="+mn-lt"/>
              <a:ea typeface="+mn-ea"/>
              <a:cs typeface="+mn-cs"/>
            </a:rPr>
            <a:t>Units</a:t>
          </a:r>
          <a:r>
            <a:rPr lang="en-IN" sz="1400" b="0" i="0" u="none" strike="noStrike" baseline="0">
              <a:solidFill>
                <a:schemeClr val="dk1"/>
              </a:solidFill>
              <a:effectLst/>
              <a:latin typeface="+mn-lt"/>
              <a:ea typeface="+mn-ea"/>
              <a:cs typeface="+mn-cs"/>
            </a:rPr>
            <a:t> Sold</a:t>
          </a:r>
        </a:p>
        <a:p>
          <a:pPr algn="ctr"/>
          <a:r>
            <a:rPr lang="en-IN" sz="1400" b="0" i="0" u="none" strike="noStrike" baseline="0">
              <a:solidFill>
                <a:schemeClr val="dk1"/>
              </a:solidFill>
              <a:effectLst/>
              <a:latin typeface="+mn-lt"/>
              <a:ea typeface="+mn-ea"/>
              <a:cs typeface="+mn-cs"/>
            </a:rPr>
            <a:t>498</a:t>
          </a:r>
          <a:r>
            <a:rPr lang="en-IN" sz="1400">
              <a:effectLst/>
            </a:rPr>
            <a:t> </a:t>
          </a:r>
          <a:endParaRPr lang="en-IN" sz="1400"/>
        </a:p>
      </xdr:txBody>
    </xdr:sp>
    <xdr:clientData/>
  </xdr:twoCellAnchor>
  <xdr:twoCellAnchor editAs="oneCell">
    <xdr:from>
      <xdr:col>18</xdr:col>
      <xdr:colOff>525991</xdr:colOff>
      <xdr:row>13</xdr:row>
      <xdr:rowOff>77053</xdr:rowOff>
    </xdr:from>
    <xdr:to>
      <xdr:col>21</xdr:col>
      <xdr:colOff>113241</xdr:colOff>
      <xdr:row>22</xdr:row>
      <xdr:rowOff>152400</xdr:rowOff>
    </xdr:to>
    <mc:AlternateContent xmlns:mc="http://schemas.openxmlformats.org/markup-compatibility/2006">
      <mc:Choice xmlns:a14="http://schemas.microsoft.com/office/drawing/2010/main" Requires="a14">
        <xdr:graphicFrame macro="">
          <xdr:nvGraphicFramePr>
            <xdr:cNvPr id="12" name="Region 1">
              <a:extLst>
                <a:ext uri="{FF2B5EF4-FFF2-40B4-BE49-F238E27FC236}">
                  <a16:creationId xmlns:a16="http://schemas.microsoft.com/office/drawing/2014/main" id="{241EF986-0D87-42BA-BD2D-1D0AF50CDEE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574991" y="2553553"/>
              <a:ext cx="1428750" cy="17898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587374</xdr:colOff>
      <xdr:row>13</xdr:row>
      <xdr:rowOff>104569</xdr:rowOff>
    </xdr:from>
    <xdr:to>
      <xdr:col>18</xdr:col>
      <xdr:colOff>412749</xdr:colOff>
      <xdr:row>22</xdr:row>
      <xdr:rowOff>179916</xdr:rowOff>
    </xdr:to>
    <mc:AlternateContent xmlns:mc="http://schemas.openxmlformats.org/markup-compatibility/2006">
      <mc:Choice xmlns:a14="http://schemas.microsoft.com/office/drawing/2010/main" Requires="a14">
        <xdr:graphicFrame macro="">
          <xdr:nvGraphicFramePr>
            <xdr:cNvPr id="13" name="Salesperson 1">
              <a:extLst>
                <a:ext uri="{FF2B5EF4-FFF2-40B4-BE49-F238E27FC236}">
                  <a16:creationId xmlns:a16="http://schemas.microsoft.com/office/drawing/2014/main" id="{E15C3B51-E7A6-4D1A-AF8B-0E7D12AE957F}"/>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dr:sp macro="" textlink="">
          <xdr:nvSpPr>
            <xdr:cNvPr id="0" name=""/>
            <xdr:cNvSpPr>
              <a:spLocks noTextEdit="1"/>
            </xdr:cNvSpPr>
          </xdr:nvSpPr>
          <xdr:spPr>
            <a:xfrm>
              <a:off x="9794874" y="2581069"/>
              <a:ext cx="1666875" cy="17898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514350</xdr:colOff>
      <xdr:row>3</xdr:row>
      <xdr:rowOff>75567</xdr:rowOff>
    </xdr:from>
    <xdr:to>
      <xdr:col>21</xdr:col>
      <xdr:colOff>53975</xdr:colOff>
      <xdr:row>12</xdr:row>
      <xdr:rowOff>140858</xdr:rowOff>
    </xdr:to>
    <mc:AlternateContent xmlns:mc="http://schemas.openxmlformats.org/markup-compatibility/2006">
      <mc:Choice xmlns:a14="http://schemas.microsoft.com/office/drawing/2010/main" Requires="a14">
        <xdr:graphicFrame macro="">
          <xdr:nvGraphicFramePr>
            <xdr:cNvPr id="14" name="Product 1">
              <a:extLst>
                <a:ext uri="{FF2B5EF4-FFF2-40B4-BE49-F238E27FC236}">
                  <a16:creationId xmlns:a16="http://schemas.microsoft.com/office/drawing/2014/main" id="{1FC92C2E-43CA-4723-9D41-675737C5028D}"/>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1563350" y="647067"/>
              <a:ext cx="1381125" cy="17797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577851</xdr:colOff>
      <xdr:row>3</xdr:row>
      <xdr:rowOff>74084</xdr:rowOff>
    </xdr:from>
    <xdr:to>
      <xdr:col>18</xdr:col>
      <xdr:colOff>374651</xdr:colOff>
      <xdr:row>12</xdr:row>
      <xdr:rowOff>129320</xdr:rowOff>
    </xdr:to>
    <mc:AlternateContent xmlns:mc="http://schemas.openxmlformats.org/markup-compatibility/2006">
      <mc:Choice xmlns:a14="http://schemas.microsoft.com/office/drawing/2010/main" Requires="a14">
        <xdr:graphicFrame macro="">
          <xdr:nvGraphicFramePr>
            <xdr:cNvPr id="15" name="Months (Date) 1">
              <a:extLst>
                <a:ext uri="{FF2B5EF4-FFF2-40B4-BE49-F238E27FC236}">
                  <a16:creationId xmlns:a16="http://schemas.microsoft.com/office/drawing/2014/main" id="{78007C8F-A4B1-4A37-A50A-695A3853F8D4}"/>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dr:sp macro="" textlink="">
          <xdr:nvSpPr>
            <xdr:cNvPr id="0" name=""/>
            <xdr:cNvSpPr>
              <a:spLocks noTextEdit="1"/>
            </xdr:cNvSpPr>
          </xdr:nvSpPr>
          <xdr:spPr>
            <a:xfrm>
              <a:off x="9785351" y="645584"/>
              <a:ext cx="1638300" cy="17697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e" refreshedDate="46029.73400138889" createdVersion="8" refreshedVersion="8" minRefreshableVersion="3" recordCount="50" xr:uid="{C6D68BD7-E5A1-48B3-A5C6-4D2D8E3A8A29}">
  <cacheSource type="worksheet">
    <worksheetSource name="Sales_Table"/>
  </cacheSource>
  <cacheFields count="12">
    <cacheField name="Date" numFmtId="14">
      <sharedItems containsSemiMixedTypes="0" containsNonDate="0" containsDate="1" containsString="0" minDate="2025-01-02T00:00:00" maxDate="2025-12-27T00:00:00" count="48">
        <d v="2025-11-24T00:00:00"/>
        <d v="2025-02-14T00:00:00"/>
        <d v="2025-10-15T00:00:00"/>
        <d v="2025-03-23T00:00:00"/>
        <d v="2025-02-17T00:00:00"/>
        <d v="2025-10-02T00:00:00"/>
        <d v="2025-10-23T00:00:00"/>
        <d v="2025-02-21T00:00:00"/>
        <d v="2025-12-26T00:00:00"/>
        <d v="2025-05-19T00:00:00"/>
        <d v="2025-05-18T00:00:00"/>
        <d v="2025-03-15T00:00:00"/>
        <d v="2025-10-26T00:00:00"/>
        <d v="2025-02-26T00:00:00"/>
        <d v="2025-09-28T00:00:00"/>
        <d v="2025-11-25T00:00:00"/>
        <d v="2025-09-14T00:00:00"/>
        <d v="2025-03-20T00:00:00"/>
        <d v="2025-01-10T00:00:00"/>
        <d v="2025-02-13T00:00:00"/>
        <d v="2025-03-26T00:00:00"/>
        <d v="2025-06-09T00:00:00"/>
        <d v="2025-06-23T00:00:00"/>
        <d v="2025-04-28T00:00:00"/>
        <d v="2025-04-20T00:00:00"/>
        <d v="2025-04-08T00:00:00"/>
        <d v="2025-12-11T00:00:00"/>
        <d v="2025-08-15T00:00:00"/>
        <d v="2025-03-27T00:00:00"/>
        <d v="2025-07-14T00:00:00"/>
        <d v="2025-12-05T00:00:00"/>
        <d v="2025-02-01T00:00:00"/>
        <d v="2025-03-22T00:00:00"/>
        <d v="2025-07-26T00:00:00"/>
        <d v="2025-12-03T00:00:00"/>
        <d v="2025-08-23T00:00:00"/>
        <d v="2025-02-07T00:00:00"/>
        <d v="2025-07-09T00:00:00"/>
        <d v="2025-01-05T00:00:00"/>
        <d v="2025-03-21T00:00:00"/>
        <d v="2025-09-16T00:00:00"/>
        <d v="2025-01-02T00:00:00"/>
        <d v="2025-10-10T00:00:00"/>
        <d v="2025-07-03T00:00:00"/>
        <d v="2025-11-14T00:00:00"/>
        <d v="2025-07-30T00:00:00"/>
        <d v="2025-04-24T00:00:00"/>
        <d v="2025-01-13T00:00:00"/>
      </sharedItems>
      <fieldGroup par="11"/>
    </cacheField>
    <cacheField name="Region" numFmtId="0">
      <sharedItems count="4">
        <s v="North"/>
        <s v="West"/>
        <s v="South"/>
        <s v="East"/>
      </sharedItems>
    </cacheField>
    <cacheField name="Salesperson" numFmtId="0">
      <sharedItems count="5">
        <s v="Alice"/>
        <s v="Ethan"/>
        <s v="Charlie"/>
        <s v="Diana"/>
        <s v="Bob"/>
      </sharedItems>
    </cacheField>
    <cacheField name="Product" numFmtId="0">
      <sharedItems count="5">
        <s v="Smartphone"/>
        <s v="Laptop"/>
        <s v="Monitor"/>
        <s v="Tablet"/>
        <s v="Printer"/>
      </sharedItems>
    </cacheField>
    <cacheField name="Units Sold" numFmtId="1">
      <sharedItems containsSemiMixedTypes="0" containsString="0" containsNumber="1" containsInteger="1" minValue="1" maxValue="20"/>
    </cacheField>
    <cacheField name="Unit Price" numFmtId="164">
      <sharedItems containsSemiMixedTypes="0" containsString="0" containsNumber="1" minValue="152.13" maxValue="972.1"/>
    </cacheField>
    <cacheField name="Total Sales" numFmtId="164">
      <sharedItems containsSemiMixedTypes="0" containsString="0" containsNumber="1" minValue="754.86" maxValue="15752.88"/>
    </cacheField>
    <cacheField name="Discount" numFmtId="164">
      <sharedItems containsSemiMixedTypes="0" containsString="0" containsNumber="1" minValue="2.2000000000000002" maxValue="2517.5500000000002"/>
    </cacheField>
    <cacheField name="Net Sales" numFmtId="164">
      <sharedItems containsSemiMixedTypes="0" containsString="0" containsNumber="1" minValue="619.14" maxValue="13865.86"/>
    </cacheField>
    <cacheField name="Customer Rating" numFmtId="1">
      <sharedItems containsSemiMixedTypes="0" containsString="0" containsNumber="1" containsInteger="1" minValue="1" maxValue="5"/>
    </cacheField>
    <cacheField name="Days (Date)" numFmtId="0" databaseField="0">
      <fieldGroup base="0">
        <rangePr groupBy="days" startDate="2025-01-02T00:00:00" endDate="2025-12-27T00:00:00"/>
        <groupItems count="368">
          <s v="&lt;02-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7-12-2025"/>
        </groupItems>
      </fieldGroup>
    </cacheField>
    <cacheField name="Months (Date)" numFmtId="0" databaseField="0">
      <fieldGroup base="0">
        <rangePr groupBy="months" startDate="2025-01-02T00:00:00" endDate="2025-12-27T00:00:00"/>
        <groupItems count="14">
          <s v="&lt;02-01-2025"/>
          <s v="Jan"/>
          <s v="Feb"/>
          <s v="Mar"/>
          <s v="Apr"/>
          <s v="May"/>
          <s v="Jun"/>
          <s v="Jul"/>
          <s v="Aug"/>
          <s v="Sep"/>
          <s v="Oct"/>
          <s v="Nov"/>
          <s v="Dec"/>
          <s v="&gt;27-12-2025"/>
        </groupItems>
      </fieldGroup>
    </cacheField>
  </cacheFields>
  <extLst>
    <ext xmlns:x14="http://schemas.microsoft.com/office/spreadsheetml/2009/9/main" uri="{725AE2AE-9491-48be-B2B4-4EB974FC3084}">
      <x14:pivotCacheDefinition pivotCacheId="5039062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x v="0"/>
    <x v="0"/>
    <n v="8"/>
    <n v="300.89"/>
    <n v="2407.12"/>
    <n v="354.55"/>
    <n v="2052.5700000000002"/>
    <n v="5"/>
  </r>
  <r>
    <x v="1"/>
    <x v="1"/>
    <x v="0"/>
    <x v="1"/>
    <n v="3"/>
    <n v="296.77"/>
    <n v="890.31"/>
    <n v="89.98"/>
    <n v="800.33"/>
    <n v="1"/>
  </r>
  <r>
    <x v="2"/>
    <x v="2"/>
    <x v="1"/>
    <x v="2"/>
    <n v="8"/>
    <n v="504.29"/>
    <n v="4034.32"/>
    <n v="224.46"/>
    <n v="3809.86"/>
    <n v="1"/>
  </r>
  <r>
    <x v="3"/>
    <x v="1"/>
    <x v="2"/>
    <x v="0"/>
    <n v="5"/>
    <n v="293.77999999999997"/>
    <n v="1468.9"/>
    <n v="224.3"/>
    <n v="1244.5999999999999"/>
    <n v="1"/>
  </r>
  <r>
    <x v="4"/>
    <x v="1"/>
    <x v="0"/>
    <x v="0"/>
    <n v="12"/>
    <n v="643.35"/>
    <n v="7720.2"/>
    <n v="1246.24"/>
    <n v="6473.96"/>
    <n v="4"/>
  </r>
  <r>
    <x v="5"/>
    <x v="0"/>
    <x v="3"/>
    <x v="1"/>
    <n v="18"/>
    <n v="363.86"/>
    <n v="6549.48"/>
    <n v="823.45"/>
    <n v="5726.03"/>
    <n v="3"/>
  </r>
  <r>
    <x v="6"/>
    <x v="2"/>
    <x v="0"/>
    <x v="1"/>
    <n v="8"/>
    <n v="795.76"/>
    <n v="6366.08"/>
    <n v="1254.4000000000001"/>
    <n v="5111.68"/>
    <n v="2"/>
  </r>
  <r>
    <x v="7"/>
    <x v="1"/>
    <x v="2"/>
    <x v="2"/>
    <n v="12"/>
    <n v="246.39"/>
    <n v="2956.68"/>
    <n v="210.08"/>
    <n v="2746.6"/>
    <n v="3"/>
  </r>
  <r>
    <x v="8"/>
    <x v="0"/>
    <x v="1"/>
    <x v="3"/>
    <n v="18"/>
    <n v="756.21"/>
    <n v="13611.78"/>
    <n v="444.84"/>
    <n v="13166.94"/>
    <n v="4"/>
  </r>
  <r>
    <x v="9"/>
    <x v="2"/>
    <x v="2"/>
    <x v="1"/>
    <n v="8"/>
    <n v="839.62"/>
    <n v="6716.96"/>
    <n v="1081.49"/>
    <n v="5635.47"/>
    <n v="4"/>
  </r>
  <r>
    <x v="10"/>
    <x v="0"/>
    <x v="4"/>
    <x v="4"/>
    <n v="11"/>
    <n v="291.36"/>
    <n v="3204.96"/>
    <n v="320"/>
    <n v="2884.96"/>
    <n v="4"/>
  </r>
  <r>
    <x v="11"/>
    <x v="3"/>
    <x v="4"/>
    <x v="3"/>
    <n v="18"/>
    <n v="585.08000000000004"/>
    <n v="10531.44"/>
    <n v="1573.43"/>
    <n v="8958.01"/>
    <n v="4"/>
  </r>
  <r>
    <x v="12"/>
    <x v="1"/>
    <x v="2"/>
    <x v="3"/>
    <n v="5"/>
    <n v="558.57000000000005"/>
    <n v="2792.85"/>
    <n v="50.78"/>
    <n v="2742.07"/>
    <n v="1"/>
  </r>
  <r>
    <x v="13"/>
    <x v="2"/>
    <x v="4"/>
    <x v="2"/>
    <n v="20"/>
    <n v="157.16999999999999"/>
    <n v="3143.4"/>
    <n v="239.92"/>
    <n v="2903.48"/>
    <n v="4"/>
  </r>
  <r>
    <x v="14"/>
    <x v="3"/>
    <x v="1"/>
    <x v="1"/>
    <n v="4"/>
    <n v="713.54"/>
    <n v="2854.16"/>
    <n v="306.52"/>
    <n v="2547.64"/>
    <n v="3"/>
  </r>
  <r>
    <x v="15"/>
    <x v="3"/>
    <x v="0"/>
    <x v="0"/>
    <n v="14"/>
    <n v="242.34"/>
    <n v="3392.76"/>
    <n v="2.2000000000000002"/>
    <n v="3390.56"/>
    <n v="3"/>
  </r>
  <r>
    <x v="16"/>
    <x v="2"/>
    <x v="1"/>
    <x v="1"/>
    <n v="10"/>
    <n v="857.5"/>
    <n v="8575"/>
    <n v="870.64"/>
    <n v="7704.36"/>
    <n v="2"/>
  </r>
  <r>
    <x v="17"/>
    <x v="3"/>
    <x v="4"/>
    <x v="4"/>
    <n v="17"/>
    <n v="926.64"/>
    <n v="15752.88"/>
    <n v="1887.02"/>
    <n v="13865.86"/>
    <n v="4"/>
  </r>
  <r>
    <x v="18"/>
    <x v="0"/>
    <x v="2"/>
    <x v="0"/>
    <n v="8"/>
    <n v="152.13"/>
    <n v="1217.04"/>
    <n v="213.71"/>
    <n v="1003.33"/>
    <n v="1"/>
  </r>
  <r>
    <x v="19"/>
    <x v="1"/>
    <x v="0"/>
    <x v="4"/>
    <n v="5"/>
    <n v="215.55"/>
    <n v="1077.75"/>
    <n v="102.45"/>
    <n v="975.3"/>
    <n v="5"/>
  </r>
  <r>
    <x v="20"/>
    <x v="3"/>
    <x v="1"/>
    <x v="4"/>
    <n v="14"/>
    <n v="967.93"/>
    <n v="13551.02"/>
    <n v="2517.5500000000002"/>
    <n v="11033.47"/>
    <n v="2"/>
  </r>
  <r>
    <x v="21"/>
    <x v="1"/>
    <x v="2"/>
    <x v="2"/>
    <n v="17"/>
    <n v="506.34"/>
    <n v="8607.7800000000007"/>
    <n v="426.78"/>
    <n v="8181"/>
    <n v="1"/>
  </r>
  <r>
    <x v="22"/>
    <x v="0"/>
    <x v="1"/>
    <x v="4"/>
    <n v="8"/>
    <n v="629.6"/>
    <n v="5036.8"/>
    <n v="7.24"/>
    <n v="5029.5600000000004"/>
    <n v="1"/>
  </r>
  <r>
    <x v="23"/>
    <x v="0"/>
    <x v="0"/>
    <x v="0"/>
    <n v="3"/>
    <n v="562.74"/>
    <n v="1688.22"/>
    <n v="94.03"/>
    <n v="1594.19"/>
    <n v="4"/>
  </r>
  <r>
    <x v="24"/>
    <x v="2"/>
    <x v="1"/>
    <x v="4"/>
    <n v="16"/>
    <n v="318.7"/>
    <n v="5099.2"/>
    <n v="482.36"/>
    <n v="4616.84"/>
    <n v="4"/>
  </r>
  <r>
    <x v="25"/>
    <x v="0"/>
    <x v="0"/>
    <x v="2"/>
    <n v="12"/>
    <n v="481.22"/>
    <n v="5774.64"/>
    <n v="539.38"/>
    <n v="5235.26"/>
    <n v="1"/>
  </r>
  <r>
    <x v="26"/>
    <x v="0"/>
    <x v="0"/>
    <x v="2"/>
    <n v="11"/>
    <n v="820.53"/>
    <n v="9025.83"/>
    <n v="197.25"/>
    <n v="8828.58"/>
    <n v="2"/>
  </r>
  <r>
    <x v="25"/>
    <x v="1"/>
    <x v="4"/>
    <x v="2"/>
    <n v="6"/>
    <n v="350.69"/>
    <n v="2104.14"/>
    <n v="105.13"/>
    <n v="1999.01"/>
    <n v="1"/>
  </r>
  <r>
    <x v="27"/>
    <x v="0"/>
    <x v="0"/>
    <x v="4"/>
    <n v="1"/>
    <n v="972.1"/>
    <n v="972.1"/>
    <n v="180.1"/>
    <n v="792"/>
    <n v="2"/>
  </r>
  <r>
    <x v="28"/>
    <x v="1"/>
    <x v="3"/>
    <x v="2"/>
    <n v="7"/>
    <n v="878.19"/>
    <n v="6147.33"/>
    <n v="1109.52"/>
    <n v="5037.8100000000004"/>
    <n v="2"/>
  </r>
  <r>
    <x v="29"/>
    <x v="0"/>
    <x v="3"/>
    <x v="0"/>
    <n v="15"/>
    <n v="356.72"/>
    <n v="5350.8"/>
    <n v="745.46"/>
    <n v="4605.34"/>
    <n v="5"/>
  </r>
  <r>
    <x v="30"/>
    <x v="1"/>
    <x v="4"/>
    <x v="3"/>
    <n v="10"/>
    <n v="295.93"/>
    <n v="2959.3"/>
    <n v="34.61"/>
    <n v="2924.69"/>
    <n v="5"/>
  </r>
  <r>
    <x v="31"/>
    <x v="3"/>
    <x v="0"/>
    <x v="1"/>
    <n v="19"/>
    <n v="529.11"/>
    <n v="10053.09"/>
    <n v="1848.54"/>
    <n v="8204.5499999999993"/>
    <n v="5"/>
  </r>
  <r>
    <x v="32"/>
    <x v="0"/>
    <x v="1"/>
    <x v="1"/>
    <n v="6"/>
    <n v="161.66999999999999"/>
    <n v="970.02"/>
    <n v="13.18"/>
    <n v="956.84"/>
    <n v="2"/>
  </r>
  <r>
    <x v="33"/>
    <x v="0"/>
    <x v="1"/>
    <x v="3"/>
    <n v="19"/>
    <n v="635.07000000000005"/>
    <n v="12066.33"/>
    <n v="1494.73"/>
    <n v="10571.6"/>
    <n v="4"/>
  </r>
  <r>
    <x v="34"/>
    <x v="3"/>
    <x v="2"/>
    <x v="3"/>
    <n v="11"/>
    <n v="314.82"/>
    <n v="3463.02"/>
    <n v="274.12"/>
    <n v="3188.9"/>
    <n v="3"/>
  </r>
  <r>
    <x v="35"/>
    <x v="3"/>
    <x v="0"/>
    <x v="1"/>
    <n v="15"/>
    <n v="659.04"/>
    <n v="9885.6"/>
    <n v="1113.1099999999999"/>
    <n v="8772.49"/>
    <n v="1"/>
  </r>
  <r>
    <x v="36"/>
    <x v="2"/>
    <x v="1"/>
    <x v="0"/>
    <n v="5"/>
    <n v="939.93"/>
    <n v="4699.6499999999996"/>
    <n v="827.95"/>
    <n v="3871.7"/>
    <n v="2"/>
  </r>
  <r>
    <x v="37"/>
    <x v="3"/>
    <x v="4"/>
    <x v="2"/>
    <n v="18"/>
    <n v="733.19"/>
    <n v="13197.42"/>
    <n v="1614.51"/>
    <n v="11582.91"/>
    <n v="5"/>
  </r>
  <r>
    <x v="38"/>
    <x v="3"/>
    <x v="0"/>
    <x v="3"/>
    <n v="9"/>
    <n v="203.89"/>
    <n v="1835.01"/>
    <n v="39.28"/>
    <n v="1795.73"/>
    <n v="5"/>
  </r>
  <r>
    <x v="39"/>
    <x v="3"/>
    <x v="2"/>
    <x v="4"/>
    <n v="7"/>
    <n v="745.85"/>
    <n v="5220.95"/>
    <n v="212.59"/>
    <n v="5008.3599999999997"/>
    <n v="3"/>
  </r>
  <r>
    <x v="40"/>
    <x v="1"/>
    <x v="2"/>
    <x v="1"/>
    <n v="3"/>
    <n v="670.86"/>
    <n v="2012.58"/>
    <n v="333.83"/>
    <n v="1678.75"/>
    <n v="1"/>
  </r>
  <r>
    <x v="41"/>
    <x v="3"/>
    <x v="4"/>
    <x v="0"/>
    <n v="6"/>
    <n v="767.11"/>
    <n v="4602.66"/>
    <n v="507.84"/>
    <n v="4094.82"/>
    <n v="4"/>
  </r>
  <r>
    <x v="2"/>
    <x v="0"/>
    <x v="0"/>
    <x v="1"/>
    <n v="5"/>
    <n v="591.03"/>
    <n v="2955.15"/>
    <n v="493.27"/>
    <n v="2461.88"/>
    <n v="5"/>
  </r>
  <r>
    <x v="42"/>
    <x v="2"/>
    <x v="3"/>
    <x v="3"/>
    <n v="2"/>
    <n v="377.43"/>
    <n v="754.86"/>
    <n v="135.72"/>
    <n v="619.14"/>
    <n v="1"/>
  </r>
  <r>
    <x v="43"/>
    <x v="2"/>
    <x v="4"/>
    <x v="1"/>
    <n v="12"/>
    <n v="802.1"/>
    <n v="9625.2000000000007"/>
    <n v="1701.99"/>
    <n v="7923.21"/>
    <n v="4"/>
  </r>
  <r>
    <x v="44"/>
    <x v="2"/>
    <x v="4"/>
    <x v="3"/>
    <n v="6"/>
    <n v="893.27"/>
    <n v="5359.62"/>
    <n v="26.57"/>
    <n v="5333.05"/>
    <n v="3"/>
  </r>
  <r>
    <x v="45"/>
    <x v="2"/>
    <x v="2"/>
    <x v="3"/>
    <n v="4"/>
    <n v="444.29"/>
    <n v="1777.16"/>
    <n v="13.76"/>
    <n v="1763.4"/>
    <n v="4"/>
  </r>
  <r>
    <x v="46"/>
    <x v="2"/>
    <x v="3"/>
    <x v="0"/>
    <n v="10"/>
    <n v="838.48"/>
    <n v="8384.7999999999993"/>
    <n v="1461.17"/>
    <n v="6923.63"/>
    <n v="2"/>
  </r>
  <r>
    <x v="47"/>
    <x v="2"/>
    <x v="3"/>
    <x v="0"/>
    <n v="9"/>
    <n v="877.92"/>
    <n v="7901.28"/>
    <n v="1527.93"/>
    <n v="6373.35"/>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608650-6F1C-45F3-9566-504B2B60F21C}"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D14" firstHeaderRow="0" firstDataRow="1" firstDataCol="1"/>
  <pivotFields count="12">
    <pivotField numFmtId="14" showAll="0">
      <items count="49">
        <item x="41"/>
        <item x="38"/>
        <item x="18"/>
        <item x="47"/>
        <item x="31"/>
        <item x="36"/>
        <item x="19"/>
        <item x="1"/>
        <item x="4"/>
        <item x="7"/>
        <item x="13"/>
        <item x="11"/>
        <item x="17"/>
        <item x="39"/>
        <item x="32"/>
        <item x="3"/>
        <item x="20"/>
        <item x="28"/>
        <item x="25"/>
        <item x="24"/>
        <item x="46"/>
        <item x="23"/>
        <item x="10"/>
        <item x="9"/>
        <item x="21"/>
        <item x="22"/>
        <item x="43"/>
        <item x="37"/>
        <item x="29"/>
        <item x="33"/>
        <item x="45"/>
        <item x="27"/>
        <item x="35"/>
        <item x="16"/>
        <item x="40"/>
        <item x="14"/>
        <item x="5"/>
        <item x="42"/>
        <item x="2"/>
        <item x="6"/>
        <item x="12"/>
        <item x="44"/>
        <item x="0"/>
        <item x="15"/>
        <item x="34"/>
        <item x="30"/>
        <item x="26"/>
        <item x="8"/>
        <item t="default"/>
      </items>
    </pivotField>
    <pivotField showAll="0">
      <items count="5">
        <item x="3"/>
        <item x="0"/>
        <item x="2"/>
        <item x="1"/>
        <item t="default"/>
      </items>
    </pivotField>
    <pivotField showAll="0">
      <items count="6">
        <item x="0"/>
        <item x="4"/>
        <item x="2"/>
        <item x="3"/>
        <item x="1"/>
        <item t="default"/>
      </items>
    </pivotField>
    <pivotField showAll="0">
      <items count="6">
        <item x="1"/>
        <item x="2"/>
        <item x="4"/>
        <item x="0"/>
        <item x="3"/>
        <item t="default"/>
      </items>
    </pivotField>
    <pivotField numFmtId="1" showAll="0"/>
    <pivotField numFmtId="164" showAll="0"/>
    <pivotField dataField="1" numFmtId="164" showAll="0"/>
    <pivotField dataField="1" numFmtId="164" showAll="0"/>
    <pivotField dataField="1" numFmtId="164" showAll="0"/>
    <pivotField numFmtI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1"/>
  </rowFields>
  <rowItems count="13">
    <i>
      <x v="1"/>
    </i>
    <i>
      <x v="2"/>
    </i>
    <i>
      <x v="3"/>
    </i>
    <i>
      <x v="4"/>
    </i>
    <i>
      <x v="5"/>
    </i>
    <i>
      <x v="6"/>
    </i>
    <i>
      <x v="7"/>
    </i>
    <i>
      <x v="8"/>
    </i>
    <i>
      <x v="9"/>
    </i>
    <i>
      <x v="10"/>
    </i>
    <i>
      <x v="11"/>
    </i>
    <i>
      <x v="12"/>
    </i>
    <i t="grand">
      <x/>
    </i>
  </rowItems>
  <colFields count="1">
    <field x="-2"/>
  </colFields>
  <colItems count="3">
    <i>
      <x/>
    </i>
    <i i="1">
      <x v="1"/>
    </i>
    <i i="2">
      <x v="2"/>
    </i>
  </colItems>
  <dataFields count="3">
    <dataField name="Sum of Total Sales" fld="6" baseField="0" baseItem="0" numFmtId="164"/>
    <dataField name="Sum of Net Sales" fld="8" baseField="0" baseItem="0" numFmtId="164"/>
    <dataField name="Sum of Discount" fld="7" baseField="0" baseItem="0" numFmtId="164"/>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5E8522-359F-4065-90BB-8B6FB6FB55A5}"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C27" firstHeaderRow="0" firstDataRow="1" firstDataCol="1"/>
  <pivotFields count="12">
    <pivotField numFmtId="14" showAll="0">
      <items count="49">
        <item x="41"/>
        <item x="38"/>
        <item x="18"/>
        <item x="47"/>
        <item x="31"/>
        <item x="36"/>
        <item x="19"/>
        <item x="1"/>
        <item x="4"/>
        <item x="7"/>
        <item x="13"/>
        <item x="11"/>
        <item x="17"/>
        <item x="39"/>
        <item x="32"/>
        <item x="3"/>
        <item x="20"/>
        <item x="28"/>
        <item x="25"/>
        <item x="24"/>
        <item x="46"/>
        <item x="23"/>
        <item x="10"/>
        <item x="9"/>
        <item x="21"/>
        <item x="22"/>
        <item x="43"/>
        <item x="37"/>
        <item x="29"/>
        <item x="33"/>
        <item x="45"/>
        <item x="27"/>
        <item x="35"/>
        <item x="16"/>
        <item x="40"/>
        <item x="14"/>
        <item x="5"/>
        <item x="42"/>
        <item x="2"/>
        <item x="6"/>
        <item x="12"/>
        <item x="44"/>
        <item x="0"/>
        <item x="15"/>
        <item x="34"/>
        <item x="30"/>
        <item x="26"/>
        <item x="8"/>
        <item t="default"/>
      </items>
    </pivotField>
    <pivotField axis="axisRow" showAll="0">
      <items count="5">
        <item x="3"/>
        <item x="0"/>
        <item x="2"/>
        <item x="1"/>
        <item t="default"/>
      </items>
    </pivotField>
    <pivotField showAll="0">
      <items count="6">
        <item x="0"/>
        <item x="4"/>
        <item x="2"/>
        <item x="3"/>
        <item x="1"/>
        <item t="default"/>
      </items>
    </pivotField>
    <pivotField axis="axisRow" showAll="0">
      <items count="6">
        <item x="1"/>
        <item x="2"/>
        <item x="4"/>
        <item x="0"/>
        <item x="3"/>
        <item t="default"/>
      </items>
    </pivotField>
    <pivotField dataField="1" numFmtId="1" showAll="0"/>
    <pivotField numFmtId="164" showAll="0"/>
    <pivotField numFmtId="164" showAll="0"/>
    <pivotField numFmtId="164" showAll="0"/>
    <pivotField dataField="1" numFmtId="164" showAll="0"/>
    <pivotField numFmtId="1" showAll="0"/>
    <pivotField showAll="0" defaultSubtotal="0"/>
    <pivotField showAll="0" defaultSubtotal="0">
      <items count="14">
        <item x="0"/>
        <item x="1"/>
        <item x="2"/>
        <item x="3"/>
        <item x="4"/>
        <item x="5"/>
        <item x="6"/>
        <item x="7"/>
        <item x="8"/>
        <item x="9"/>
        <item x="10"/>
        <item x="11"/>
        <item x="12"/>
        <item x="13"/>
      </items>
    </pivotField>
  </pivotFields>
  <rowFields count="2">
    <field x="1"/>
    <field x="3"/>
  </rowFields>
  <rowItems count="25">
    <i>
      <x/>
    </i>
    <i r="1">
      <x/>
    </i>
    <i r="1">
      <x v="1"/>
    </i>
    <i r="1">
      <x v="2"/>
    </i>
    <i r="1">
      <x v="3"/>
    </i>
    <i r="1">
      <x v="4"/>
    </i>
    <i>
      <x v="1"/>
    </i>
    <i r="1">
      <x/>
    </i>
    <i r="1">
      <x v="1"/>
    </i>
    <i r="1">
      <x v="2"/>
    </i>
    <i r="1">
      <x v="3"/>
    </i>
    <i r="1">
      <x v="4"/>
    </i>
    <i>
      <x v="2"/>
    </i>
    <i r="1">
      <x/>
    </i>
    <i r="1">
      <x v="1"/>
    </i>
    <i r="1">
      <x v="2"/>
    </i>
    <i r="1">
      <x v="3"/>
    </i>
    <i r="1">
      <x v="4"/>
    </i>
    <i>
      <x v="3"/>
    </i>
    <i r="1">
      <x/>
    </i>
    <i r="1">
      <x v="1"/>
    </i>
    <i r="1">
      <x v="2"/>
    </i>
    <i r="1">
      <x v="3"/>
    </i>
    <i r="1">
      <x v="4"/>
    </i>
    <i t="grand">
      <x/>
    </i>
  </rowItems>
  <colFields count="1">
    <field x="-2"/>
  </colFields>
  <colItems count="2">
    <i>
      <x/>
    </i>
    <i i="1">
      <x v="1"/>
    </i>
  </colItems>
  <dataFields count="2">
    <dataField name="Sum of Net Sales" fld="8" baseField="0" baseItem="0" numFmtId="164"/>
    <dataField name="Sum of Units Sold" fld="4" baseField="0" baseItem="0" numFmtId="1"/>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33ACFA-FF9F-43E3-A3A1-A3F2F0E0A32E}"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C7" firstHeaderRow="0" firstDataRow="1" firstDataCol="1"/>
  <pivotFields count="12">
    <pivotField numFmtId="14" showAll="0">
      <items count="49">
        <item x="41"/>
        <item x="38"/>
        <item x="18"/>
        <item x="47"/>
        <item x="31"/>
        <item x="36"/>
        <item x="19"/>
        <item x="1"/>
        <item x="4"/>
        <item x="7"/>
        <item x="13"/>
        <item x="11"/>
        <item x="17"/>
        <item x="39"/>
        <item x="32"/>
        <item x="3"/>
        <item x="20"/>
        <item x="28"/>
        <item x="25"/>
        <item x="24"/>
        <item x="46"/>
        <item x="23"/>
        <item x="10"/>
        <item x="9"/>
        <item x="21"/>
        <item x="22"/>
        <item x="43"/>
        <item x="37"/>
        <item x="29"/>
        <item x="33"/>
        <item x="45"/>
        <item x="27"/>
        <item x="35"/>
        <item x="16"/>
        <item x="40"/>
        <item x="14"/>
        <item x="5"/>
        <item x="42"/>
        <item x="2"/>
        <item x="6"/>
        <item x="12"/>
        <item x="44"/>
        <item x="0"/>
        <item x="15"/>
        <item x="34"/>
        <item x="30"/>
        <item x="26"/>
        <item x="8"/>
        <item t="default"/>
      </items>
    </pivotField>
    <pivotField showAll="0">
      <items count="5">
        <item x="3"/>
        <item x="0"/>
        <item x="2"/>
        <item x="1"/>
        <item t="default"/>
      </items>
    </pivotField>
    <pivotField axis="axisRow" showAll="0" sortType="descending">
      <items count="6">
        <item x="0"/>
        <item x="4"/>
        <item x="2"/>
        <item x="3"/>
        <item x="1"/>
        <item t="default"/>
      </items>
      <autoSortScope>
        <pivotArea dataOnly="0" outline="0" fieldPosition="0">
          <references count="1">
            <reference field="4294967294" count="1" selected="0">
              <x v="0"/>
            </reference>
          </references>
        </pivotArea>
      </autoSortScope>
    </pivotField>
    <pivotField showAll="0">
      <items count="6">
        <item x="1"/>
        <item x="2"/>
        <item x="4"/>
        <item x="0"/>
        <item x="3"/>
        <item t="default"/>
      </items>
    </pivotField>
    <pivotField dataField="1" numFmtId="1" showAll="0"/>
    <pivotField numFmtId="164" showAll="0"/>
    <pivotField numFmtId="164" showAll="0"/>
    <pivotField numFmtId="164" showAll="0"/>
    <pivotField dataField="1" numFmtId="164" showAll="0"/>
    <pivotField numFmtId="1"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6">
    <i>
      <x v="4"/>
    </i>
    <i>
      <x v="1"/>
    </i>
    <i>
      <x/>
    </i>
    <i>
      <x v="2"/>
    </i>
    <i>
      <x v="3"/>
    </i>
    <i t="grand">
      <x/>
    </i>
  </rowItems>
  <colFields count="1">
    <field x="-2"/>
  </colFields>
  <colItems count="2">
    <i>
      <x/>
    </i>
    <i i="1">
      <x v="1"/>
    </i>
  </colItems>
  <dataFields count="2">
    <dataField name="Sum of Net Sales" fld="8" baseField="0" baseItem="0" numFmtId="164"/>
    <dataField name="Sum of Units Sold" fld="4" baseField="0" baseItem="0" numFmtId="1"/>
  </dataFields>
  <conditionalFormats count="1">
    <conditionalFormat type="all" priority="1">
      <pivotAreas count="1">
        <pivotArea type="data" collapsedLevelsAreSubtotals="1" fieldPosition="0">
          <references count="2">
            <reference field="4294967294" count="1" selected="0">
              <x v="0"/>
            </reference>
            <reference field="2" count="5">
              <x v="0"/>
              <x v="1"/>
              <x v="2"/>
              <x v="3"/>
              <x v="4"/>
            </reference>
          </references>
        </pivotArea>
      </pivotAreas>
    </conditionalFormat>
  </conditional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8D0BA13-EE5C-460E-976E-C0C1315E440A}" sourceName="Region">
  <pivotTables>
    <pivotTable tabId="5" name="PivotTable3"/>
    <pivotTable tabId="4" name="PivotTable2"/>
  </pivotTables>
  <data>
    <tabular pivotCacheId="503906247">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C7293E66-CE20-4527-AA99-D94F2E8E062B}" sourceName="Salesperson">
  <pivotTables>
    <pivotTable tabId="5" name="PivotTable3"/>
    <pivotTable tabId="4" name="PivotTable2"/>
  </pivotTables>
  <data>
    <tabular pivotCacheId="503906247">
      <items count="5">
        <i x="0" s="1"/>
        <i x="4"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D57824F-5BBF-484D-87A5-493925FD8898}" sourceName="Product">
  <pivotTables>
    <pivotTable tabId="5" name="PivotTable3"/>
    <pivotTable tabId="4" name="PivotTable2"/>
  </pivotTables>
  <data>
    <tabular pivotCacheId="503906247">
      <items count="5">
        <i x="1" s="1"/>
        <i x="2" s="1"/>
        <i x="4"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587186DD-5F74-47EB-9E40-D7C19CC46E32}" sourceName="Months (Date)">
  <pivotTables>
    <pivotTable tabId="4" name="PivotTable2"/>
    <pivotTable tabId="5" name="PivotTable3"/>
  </pivotTables>
  <data>
    <tabular pivotCacheId="503906247">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60F44B3-3BE8-403C-8339-52CAED9509C9}" cache="Slicer_Region" caption="Region" rowHeight="241300"/>
  <slicer name="Salesperson" xr10:uid="{DC43C550-E8A9-4682-84EF-1C1FAEB78CF3}" cache="Slicer_Salesperson" caption="Salesperson" rowHeight="241300"/>
  <slicer name="Product" xr10:uid="{B578C227-D84B-4CB7-8FE1-FFA5FA260197}" cache="Slicer_Product" caption="Product" rowHeight="241300"/>
  <slicer name="Months (Date)" xr10:uid="{DC2F9967-A43B-44D3-A587-B1DF3151A165}" cache="Slicer_Months__Date" caption="Months (Dat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AE02EACD-8936-4712-A07A-776802F27FE8}" cache="Slicer_Region" caption="Region" style="SlicerStyleLight2" rowHeight="241300"/>
  <slicer name="Salesperson 1" xr10:uid="{2256A549-CE48-4991-BD3D-12268D753BBC}" cache="Slicer_Salesperson" caption="Salesperson" style="SlicerStyleLight2" rowHeight="241300"/>
  <slicer name="Product 1" xr10:uid="{3F8C55B2-4D7D-43A4-86AF-67EE3FEFD27F}" cache="Slicer_Product" caption="Product" style="SlicerStyleLight2" rowHeight="241300"/>
  <slicer name="Months (Date) 1" xr10:uid="{200312FA-9A41-4152-85EC-633AE8853A58}" cache="Slicer_Months__Date" caption="Months (Date)"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B1D0E1-7282-4C02-A317-FB9EE034B489}" name="Sales_Table" displayName="Sales_Table" ref="A2:J52" totalsRowShown="0">
  <tableColumns count="10">
    <tableColumn id="1" xr3:uid="{C6EDE6A7-E56E-4C95-8662-E3B16CE5E0F0}" name="Date" dataDxfId="8"/>
    <tableColumn id="2" xr3:uid="{AF5F8BC6-81D5-4698-A5F2-5C950B49D874}" name="Region"/>
    <tableColumn id="3" xr3:uid="{86706937-02FB-425D-86D7-947A22514A3C}" name="Salesperson"/>
    <tableColumn id="4" xr3:uid="{E6576142-27F8-4304-912E-78CEE57BABCD}" name="Product"/>
    <tableColumn id="5" xr3:uid="{31FD7830-93E5-4862-8077-7F567596A228}" name="Units Sold" dataDxfId="7"/>
    <tableColumn id="6" xr3:uid="{353EDF50-97F5-46AF-B6AE-A9A9399AA8F3}" name="Unit Price" dataDxfId="6"/>
    <tableColumn id="7" xr3:uid="{32048D8B-2113-4D16-93B5-879DB7AA2781}" name="Total Sales" dataDxfId="5"/>
    <tableColumn id="8" xr3:uid="{9221BF02-9A26-47C6-AB90-F7F3689A0AE2}" name="Discount" dataDxfId="4"/>
    <tableColumn id="9" xr3:uid="{223B54B5-D27B-4FEE-A5C3-9BCAA8C6E165}" name="Net Sales" dataDxfId="3"/>
    <tableColumn id="10" xr3:uid="{7F4E80DE-5505-4372-9174-0997D60C7D8A}" name="Customer Rating" dataDxfId="2"/>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E3B91-5504-4D94-BE04-6FDC368D8102}">
  <dimension ref="A1:L52"/>
  <sheetViews>
    <sheetView topLeftCell="A3" workbookViewId="0">
      <selection activeCell="B8" sqref="B8"/>
    </sheetView>
  </sheetViews>
  <sheetFormatPr defaultRowHeight="15" x14ac:dyDescent="0.25"/>
  <cols>
    <col min="1" max="1" width="10.42578125" style="1" bestFit="1" customWidth="1"/>
    <col min="2" max="2" width="9.28515625" customWidth="1"/>
    <col min="3" max="3" width="13.85546875" customWidth="1"/>
    <col min="4" max="4" width="11.85546875" bestFit="1" customWidth="1"/>
    <col min="5" max="5" width="12.140625" style="2" customWidth="1"/>
    <col min="6" max="6" width="11.85546875" style="3" customWidth="1"/>
    <col min="7" max="7" width="12.5703125" style="3" customWidth="1"/>
    <col min="8" max="8" width="10.85546875" style="3" customWidth="1"/>
    <col min="9" max="9" width="11.42578125" style="3" customWidth="1"/>
    <col min="10" max="10" width="17.7109375" style="2" customWidth="1"/>
    <col min="12" max="12" width="12.7109375" bestFit="1" customWidth="1"/>
  </cols>
  <sheetData>
    <row r="1" spans="1:12" ht="21" x14ac:dyDescent="0.35">
      <c r="A1" s="4" t="s">
        <v>24</v>
      </c>
      <c r="B1" s="5"/>
      <c r="C1" s="5"/>
      <c r="D1" s="5"/>
      <c r="E1" s="5"/>
      <c r="F1" s="5"/>
      <c r="G1" s="5"/>
      <c r="H1" s="5"/>
      <c r="I1" s="5"/>
      <c r="J1" s="5"/>
    </row>
    <row r="2" spans="1:12" x14ac:dyDescent="0.25">
      <c r="A2" s="1" t="s">
        <v>0</v>
      </c>
      <c r="B2" t="s">
        <v>1</v>
      </c>
      <c r="C2" t="s">
        <v>2</v>
      </c>
      <c r="D2" t="s">
        <v>3</v>
      </c>
      <c r="E2" s="2" t="s">
        <v>4</v>
      </c>
      <c r="F2" s="3" t="s">
        <v>5</v>
      </c>
      <c r="G2" s="3" t="s">
        <v>6</v>
      </c>
      <c r="H2" s="3" t="s">
        <v>7</v>
      </c>
      <c r="I2" s="3" t="s">
        <v>8</v>
      </c>
      <c r="J2" s="2" t="s">
        <v>9</v>
      </c>
    </row>
    <row r="3" spans="1:12" x14ac:dyDescent="0.25">
      <c r="A3" s="1">
        <v>45985</v>
      </c>
      <c r="B3" t="s">
        <v>10</v>
      </c>
      <c r="C3" t="s">
        <v>11</v>
      </c>
      <c r="D3" t="s">
        <v>12</v>
      </c>
      <c r="E3" s="2">
        <v>8</v>
      </c>
      <c r="F3" s="3">
        <v>300.89</v>
      </c>
      <c r="G3" s="3">
        <v>2407.12</v>
      </c>
      <c r="H3" s="3">
        <v>354.55</v>
      </c>
      <c r="I3" s="3">
        <v>2052.5700000000002</v>
      </c>
      <c r="J3" s="2">
        <v>5</v>
      </c>
      <c r="L3" t="s">
        <v>25</v>
      </c>
    </row>
    <row r="4" spans="1:12" x14ac:dyDescent="0.25">
      <c r="A4" s="1">
        <v>45702</v>
      </c>
      <c r="B4" t="s">
        <v>13</v>
      </c>
      <c r="C4" t="s">
        <v>11</v>
      </c>
      <c r="D4" t="s">
        <v>14</v>
      </c>
      <c r="E4" s="2">
        <v>3</v>
      </c>
      <c r="F4" s="3">
        <v>296.77</v>
      </c>
      <c r="G4" s="3">
        <v>890.31</v>
      </c>
      <c r="H4" s="3">
        <v>89.98</v>
      </c>
      <c r="I4" s="3">
        <v>800.33</v>
      </c>
      <c r="J4" s="2">
        <v>1</v>
      </c>
    </row>
    <row r="5" spans="1:12" x14ac:dyDescent="0.25">
      <c r="A5" s="1">
        <v>45945</v>
      </c>
      <c r="B5" t="s">
        <v>15</v>
      </c>
      <c r="C5" t="s">
        <v>16</v>
      </c>
      <c r="D5" t="s">
        <v>17</v>
      </c>
      <c r="E5" s="2">
        <v>8</v>
      </c>
      <c r="F5" s="3">
        <v>504.29</v>
      </c>
      <c r="G5" s="3">
        <v>4034.32</v>
      </c>
      <c r="H5" s="3">
        <v>224.46</v>
      </c>
      <c r="I5" s="3">
        <v>3809.86</v>
      </c>
      <c r="J5" s="2">
        <v>1</v>
      </c>
    </row>
    <row r="6" spans="1:12" x14ac:dyDescent="0.25">
      <c r="A6" s="1">
        <v>45739</v>
      </c>
      <c r="B6" t="s">
        <v>13</v>
      </c>
      <c r="C6" t="s">
        <v>18</v>
      </c>
      <c r="D6" t="s">
        <v>12</v>
      </c>
      <c r="E6" s="2">
        <v>5</v>
      </c>
      <c r="F6" s="3">
        <v>293.77999999999997</v>
      </c>
      <c r="G6" s="3">
        <v>1468.9</v>
      </c>
      <c r="H6" s="3">
        <v>224.3</v>
      </c>
      <c r="I6" s="3">
        <v>1244.5999999999999</v>
      </c>
      <c r="J6" s="2">
        <v>1</v>
      </c>
    </row>
    <row r="7" spans="1:12" x14ac:dyDescent="0.25">
      <c r="A7" s="1">
        <v>45705</v>
      </c>
      <c r="B7" t="s">
        <v>13</v>
      </c>
      <c r="C7" t="s">
        <v>11</v>
      </c>
      <c r="D7" t="s">
        <v>12</v>
      </c>
      <c r="E7" s="2">
        <v>12</v>
      </c>
      <c r="F7" s="3">
        <v>643.35</v>
      </c>
      <c r="G7" s="3">
        <v>7720.2</v>
      </c>
      <c r="H7" s="3">
        <v>1246.24</v>
      </c>
      <c r="I7" s="3">
        <v>6473.96</v>
      </c>
      <c r="J7" s="2">
        <v>4</v>
      </c>
    </row>
    <row r="8" spans="1:12" x14ac:dyDescent="0.25">
      <c r="A8" s="1">
        <v>45932</v>
      </c>
      <c r="B8" t="s">
        <v>10</v>
      </c>
      <c r="C8" t="s">
        <v>19</v>
      </c>
      <c r="D8" t="s">
        <v>14</v>
      </c>
      <c r="E8" s="2">
        <v>18</v>
      </c>
      <c r="F8" s="3">
        <v>363.86</v>
      </c>
      <c r="G8" s="3">
        <v>6549.48</v>
      </c>
      <c r="H8" s="3">
        <v>823.45</v>
      </c>
      <c r="I8" s="3">
        <v>5726.03</v>
      </c>
      <c r="J8" s="2">
        <v>3</v>
      </c>
    </row>
    <row r="9" spans="1:12" x14ac:dyDescent="0.25">
      <c r="A9" s="1">
        <v>45953</v>
      </c>
      <c r="B9" t="s">
        <v>15</v>
      </c>
      <c r="C9" t="s">
        <v>11</v>
      </c>
      <c r="D9" t="s">
        <v>14</v>
      </c>
      <c r="E9" s="2">
        <v>8</v>
      </c>
      <c r="F9" s="3">
        <v>795.76</v>
      </c>
      <c r="G9" s="3">
        <v>6366.08</v>
      </c>
      <c r="H9" s="3">
        <v>1254.4000000000001</v>
      </c>
      <c r="I9" s="3">
        <v>5111.68</v>
      </c>
      <c r="J9" s="2">
        <v>2</v>
      </c>
    </row>
    <row r="10" spans="1:12" x14ac:dyDescent="0.25">
      <c r="A10" s="1">
        <v>45709</v>
      </c>
      <c r="B10" t="s">
        <v>13</v>
      </c>
      <c r="C10" t="s">
        <v>18</v>
      </c>
      <c r="D10" t="s">
        <v>17</v>
      </c>
      <c r="E10" s="2">
        <v>12</v>
      </c>
      <c r="F10" s="3">
        <v>246.39</v>
      </c>
      <c r="G10" s="3">
        <v>2956.68</v>
      </c>
      <c r="H10" s="3">
        <v>210.08</v>
      </c>
      <c r="I10" s="3">
        <v>2746.6</v>
      </c>
      <c r="J10" s="2">
        <v>3</v>
      </c>
    </row>
    <row r="11" spans="1:12" x14ac:dyDescent="0.25">
      <c r="A11" s="1">
        <v>46017</v>
      </c>
      <c r="B11" t="s">
        <v>10</v>
      </c>
      <c r="C11" t="s">
        <v>16</v>
      </c>
      <c r="D11" t="s">
        <v>20</v>
      </c>
      <c r="E11" s="2">
        <v>18</v>
      </c>
      <c r="F11" s="3">
        <v>756.21</v>
      </c>
      <c r="G11" s="3">
        <v>13611.78</v>
      </c>
      <c r="H11" s="3">
        <v>444.84</v>
      </c>
      <c r="I11" s="3">
        <v>13166.94</v>
      </c>
      <c r="J11" s="2">
        <v>4</v>
      </c>
    </row>
    <row r="12" spans="1:12" x14ac:dyDescent="0.25">
      <c r="A12" s="1">
        <v>45796</v>
      </c>
      <c r="B12" t="s">
        <v>15</v>
      </c>
      <c r="C12" t="s">
        <v>18</v>
      </c>
      <c r="D12" t="s">
        <v>14</v>
      </c>
      <c r="E12" s="2">
        <v>8</v>
      </c>
      <c r="F12" s="3">
        <v>839.62</v>
      </c>
      <c r="G12" s="3">
        <v>6716.96</v>
      </c>
      <c r="H12" s="3">
        <v>1081.49</v>
      </c>
      <c r="I12" s="3">
        <v>5635.47</v>
      </c>
      <c r="J12" s="2">
        <v>4</v>
      </c>
    </row>
    <row r="13" spans="1:12" x14ac:dyDescent="0.25">
      <c r="A13" s="1">
        <v>45795</v>
      </c>
      <c r="B13" t="s">
        <v>10</v>
      </c>
      <c r="C13" t="s">
        <v>21</v>
      </c>
      <c r="D13" t="s">
        <v>22</v>
      </c>
      <c r="E13" s="2">
        <v>11</v>
      </c>
      <c r="F13" s="3">
        <v>291.36</v>
      </c>
      <c r="G13" s="3">
        <v>3204.96</v>
      </c>
      <c r="H13" s="3">
        <v>320</v>
      </c>
      <c r="I13" s="3">
        <v>2884.96</v>
      </c>
      <c r="J13" s="2">
        <v>4</v>
      </c>
    </row>
    <row r="14" spans="1:12" x14ac:dyDescent="0.25">
      <c r="A14" s="1">
        <v>45731</v>
      </c>
      <c r="B14" t="s">
        <v>23</v>
      </c>
      <c r="C14" t="s">
        <v>21</v>
      </c>
      <c r="D14" t="s">
        <v>20</v>
      </c>
      <c r="E14" s="2">
        <v>18</v>
      </c>
      <c r="F14" s="3">
        <v>585.08000000000004</v>
      </c>
      <c r="G14" s="3">
        <v>10531.44</v>
      </c>
      <c r="H14" s="3">
        <v>1573.43</v>
      </c>
      <c r="I14" s="3">
        <v>8958.01</v>
      </c>
      <c r="J14" s="2">
        <v>4</v>
      </c>
    </row>
    <row r="15" spans="1:12" x14ac:dyDescent="0.25">
      <c r="A15" s="1">
        <v>45956</v>
      </c>
      <c r="B15" t="s">
        <v>13</v>
      </c>
      <c r="C15" t="s">
        <v>18</v>
      </c>
      <c r="D15" t="s">
        <v>20</v>
      </c>
      <c r="E15" s="2">
        <v>5</v>
      </c>
      <c r="F15" s="3">
        <v>558.57000000000005</v>
      </c>
      <c r="G15" s="3">
        <v>2792.85</v>
      </c>
      <c r="H15" s="3">
        <v>50.78</v>
      </c>
      <c r="I15" s="3">
        <v>2742.07</v>
      </c>
      <c r="J15" s="2">
        <v>1</v>
      </c>
    </row>
    <row r="16" spans="1:12" x14ac:dyDescent="0.25">
      <c r="A16" s="1">
        <v>45714</v>
      </c>
      <c r="B16" t="s">
        <v>15</v>
      </c>
      <c r="C16" t="s">
        <v>21</v>
      </c>
      <c r="D16" t="s">
        <v>17</v>
      </c>
      <c r="E16" s="2">
        <v>20</v>
      </c>
      <c r="F16" s="3">
        <v>157.16999999999999</v>
      </c>
      <c r="G16" s="3">
        <v>3143.4</v>
      </c>
      <c r="H16" s="3">
        <v>239.92</v>
      </c>
      <c r="I16" s="3">
        <v>2903.48</v>
      </c>
      <c r="J16" s="2">
        <v>4</v>
      </c>
    </row>
    <row r="17" spans="1:10" x14ac:dyDescent="0.25">
      <c r="A17" s="1">
        <v>45928</v>
      </c>
      <c r="B17" t="s">
        <v>23</v>
      </c>
      <c r="C17" t="s">
        <v>16</v>
      </c>
      <c r="D17" t="s">
        <v>14</v>
      </c>
      <c r="E17" s="2">
        <v>4</v>
      </c>
      <c r="F17" s="3">
        <v>713.54</v>
      </c>
      <c r="G17" s="3">
        <v>2854.16</v>
      </c>
      <c r="H17" s="3">
        <v>306.52</v>
      </c>
      <c r="I17" s="3">
        <v>2547.64</v>
      </c>
      <c r="J17" s="2">
        <v>3</v>
      </c>
    </row>
    <row r="18" spans="1:10" x14ac:dyDescent="0.25">
      <c r="A18" s="1">
        <v>45986</v>
      </c>
      <c r="B18" t="s">
        <v>23</v>
      </c>
      <c r="C18" t="s">
        <v>11</v>
      </c>
      <c r="D18" t="s">
        <v>12</v>
      </c>
      <c r="E18" s="2">
        <v>14</v>
      </c>
      <c r="F18" s="3">
        <v>242.34</v>
      </c>
      <c r="G18" s="3">
        <v>3392.76</v>
      </c>
      <c r="H18" s="3">
        <v>2.2000000000000002</v>
      </c>
      <c r="I18" s="3">
        <v>3390.56</v>
      </c>
      <c r="J18" s="2">
        <v>3</v>
      </c>
    </row>
    <row r="19" spans="1:10" x14ac:dyDescent="0.25">
      <c r="A19" s="1">
        <v>45914</v>
      </c>
      <c r="B19" t="s">
        <v>15</v>
      </c>
      <c r="C19" t="s">
        <v>16</v>
      </c>
      <c r="D19" t="s">
        <v>14</v>
      </c>
      <c r="E19" s="2">
        <v>10</v>
      </c>
      <c r="F19" s="3">
        <v>857.5</v>
      </c>
      <c r="G19" s="3">
        <v>8575</v>
      </c>
      <c r="H19" s="3">
        <v>870.64</v>
      </c>
      <c r="I19" s="3">
        <v>7704.36</v>
      </c>
      <c r="J19" s="2">
        <v>2</v>
      </c>
    </row>
    <row r="20" spans="1:10" x14ac:dyDescent="0.25">
      <c r="A20" s="1">
        <v>45736</v>
      </c>
      <c r="B20" t="s">
        <v>23</v>
      </c>
      <c r="C20" t="s">
        <v>21</v>
      </c>
      <c r="D20" t="s">
        <v>22</v>
      </c>
      <c r="E20" s="2">
        <v>17</v>
      </c>
      <c r="F20" s="3">
        <v>926.64</v>
      </c>
      <c r="G20" s="3">
        <v>15752.88</v>
      </c>
      <c r="H20" s="3">
        <v>1887.02</v>
      </c>
      <c r="I20" s="3">
        <v>13865.86</v>
      </c>
      <c r="J20" s="2">
        <v>4</v>
      </c>
    </row>
    <row r="21" spans="1:10" x14ac:dyDescent="0.25">
      <c r="A21" s="1">
        <v>45667</v>
      </c>
      <c r="B21" t="s">
        <v>10</v>
      </c>
      <c r="C21" t="s">
        <v>18</v>
      </c>
      <c r="D21" t="s">
        <v>12</v>
      </c>
      <c r="E21" s="2">
        <v>8</v>
      </c>
      <c r="F21" s="3">
        <v>152.13</v>
      </c>
      <c r="G21" s="3">
        <v>1217.04</v>
      </c>
      <c r="H21" s="3">
        <v>213.71</v>
      </c>
      <c r="I21" s="3">
        <v>1003.33</v>
      </c>
      <c r="J21" s="2">
        <v>1</v>
      </c>
    </row>
    <row r="22" spans="1:10" x14ac:dyDescent="0.25">
      <c r="A22" s="1">
        <v>45701</v>
      </c>
      <c r="B22" t="s">
        <v>13</v>
      </c>
      <c r="C22" t="s">
        <v>11</v>
      </c>
      <c r="D22" t="s">
        <v>22</v>
      </c>
      <c r="E22" s="2">
        <v>5</v>
      </c>
      <c r="F22" s="3">
        <v>215.55</v>
      </c>
      <c r="G22" s="3">
        <v>1077.75</v>
      </c>
      <c r="H22" s="3">
        <v>102.45</v>
      </c>
      <c r="I22" s="3">
        <v>975.3</v>
      </c>
      <c r="J22" s="2">
        <v>5</v>
      </c>
    </row>
    <row r="23" spans="1:10" x14ac:dyDescent="0.25">
      <c r="A23" s="1">
        <v>45742</v>
      </c>
      <c r="B23" t="s">
        <v>23</v>
      </c>
      <c r="C23" t="s">
        <v>16</v>
      </c>
      <c r="D23" t="s">
        <v>22</v>
      </c>
      <c r="E23" s="2">
        <v>14</v>
      </c>
      <c r="F23" s="3">
        <v>967.93</v>
      </c>
      <c r="G23" s="3">
        <v>13551.02</v>
      </c>
      <c r="H23" s="3">
        <v>2517.5500000000002</v>
      </c>
      <c r="I23" s="3">
        <v>11033.47</v>
      </c>
      <c r="J23" s="2">
        <v>2</v>
      </c>
    </row>
    <row r="24" spans="1:10" x14ac:dyDescent="0.25">
      <c r="A24" s="1">
        <v>45817</v>
      </c>
      <c r="B24" t="s">
        <v>13</v>
      </c>
      <c r="C24" t="s">
        <v>18</v>
      </c>
      <c r="D24" t="s">
        <v>17</v>
      </c>
      <c r="E24" s="2">
        <v>17</v>
      </c>
      <c r="F24" s="3">
        <v>506.34</v>
      </c>
      <c r="G24" s="3">
        <v>8607.7800000000007</v>
      </c>
      <c r="H24" s="3">
        <v>426.78</v>
      </c>
      <c r="I24" s="3">
        <v>8181</v>
      </c>
      <c r="J24" s="2">
        <v>1</v>
      </c>
    </row>
    <row r="25" spans="1:10" x14ac:dyDescent="0.25">
      <c r="A25" s="1">
        <v>45831</v>
      </c>
      <c r="B25" t="s">
        <v>10</v>
      </c>
      <c r="C25" t="s">
        <v>16</v>
      </c>
      <c r="D25" t="s">
        <v>22</v>
      </c>
      <c r="E25" s="2">
        <v>8</v>
      </c>
      <c r="F25" s="3">
        <v>629.6</v>
      </c>
      <c r="G25" s="3">
        <v>5036.8</v>
      </c>
      <c r="H25" s="3">
        <v>7.24</v>
      </c>
      <c r="I25" s="3">
        <v>5029.5600000000004</v>
      </c>
      <c r="J25" s="2">
        <v>1</v>
      </c>
    </row>
    <row r="26" spans="1:10" x14ac:dyDescent="0.25">
      <c r="A26" s="1">
        <v>45775</v>
      </c>
      <c r="B26" t="s">
        <v>10</v>
      </c>
      <c r="C26" t="s">
        <v>11</v>
      </c>
      <c r="D26" t="s">
        <v>12</v>
      </c>
      <c r="E26" s="2">
        <v>3</v>
      </c>
      <c r="F26" s="3">
        <v>562.74</v>
      </c>
      <c r="G26" s="3">
        <v>1688.22</v>
      </c>
      <c r="H26" s="3">
        <v>94.03</v>
      </c>
      <c r="I26" s="3">
        <v>1594.19</v>
      </c>
      <c r="J26" s="2">
        <v>4</v>
      </c>
    </row>
    <row r="27" spans="1:10" x14ac:dyDescent="0.25">
      <c r="A27" s="1">
        <v>45767</v>
      </c>
      <c r="B27" t="s">
        <v>15</v>
      </c>
      <c r="C27" t="s">
        <v>16</v>
      </c>
      <c r="D27" t="s">
        <v>22</v>
      </c>
      <c r="E27" s="2">
        <v>16</v>
      </c>
      <c r="F27" s="3">
        <v>318.7</v>
      </c>
      <c r="G27" s="3">
        <v>5099.2</v>
      </c>
      <c r="H27" s="3">
        <v>482.36</v>
      </c>
      <c r="I27" s="3">
        <v>4616.84</v>
      </c>
      <c r="J27" s="2">
        <v>4</v>
      </c>
    </row>
    <row r="28" spans="1:10" x14ac:dyDescent="0.25">
      <c r="A28" s="1">
        <v>45755</v>
      </c>
      <c r="B28" t="s">
        <v>10</v>
      </c>
      <c r="C28" t="s">
        <v>11</v>
      </c>
      <c r="D28" t="s">
        <v>17</v>
      </c>
      <c r="E28" s="2">
        <v>12</v>
      </c>
      <c r="F28" s="3">
        <v>481.22</v>
      </c>
      <c r="G28" s="3">
        <v>5774.64</v>
      </c>
      <c r="H28" s="3">
        <v>539.38</v>
      </c>
      <c r="I28" s="3">
        <v>5235.26</v>
      </c>
      <c r="J28" s="2">
        <v>1</v>
      </c>
    </row>
    <row r="29" spans="1:10" x14ac:dyDescent="0.25">
      <c r="A29" s="1">
        <v>46002</v>
      </c>
      <c r="B29" t="s">
        <v>10</v>
      </c>
      <c r="C29" t="s">
        <v>11</v>
      </c>
      <c r="D29" t="s">
        <v>17</v>
      </c>
      <c r="E29" s="2">
        <v>11</v>
      </c>
      <c r="F29" s="3">
        <v>820.53</v>
      </c>
      <c r="G29" s="3">
        <v>9025.83</v>
      </c>
      <c r="H29" s="3">
        <v>197.25</v>
      </c>
      <c r="I29" s="3">
        <v>8828.58</v>
      </c>
      <c r="J29" s="2">
        <v>2</v>
      </c>
    </row>
    <row r="30" spans="1:10" x14ac:dyDescent="0.25">
      <c r="A30" s="1">
        <v>45755</v>
      </c>
      <c r="B30" t="s">
        <v>13</v>
      </c>
      <c r="C30" t="s">
        <v>21</v>
      </c>
      <c r="D30" t="s">
        <v>17</v>
      </c>
      <c r="E30" s="2">
        <v>6</v>
      </c>
      <c r="F30" s="3">
        <v>350.69</v>
      </c>
      <c r="G30" s="3">
        <v>2104.14</v>
      </c>
      <c r="H30" s="3">
        <v>105.13</v>
      </c>
      <c r="I30" s="3">
        <v>1999.01</v>
      </c>
      <c r="J30" s="2">
        <v>1</v>
      </c>
    </row>
    <row r="31" spans="1:10" x14ac:dyDescent="0.25">
      <c r="A31" s="1">
        <v>45884</v>
      </c>
      <c r="B31" t="s">
        <v>10</v>
      </c>
      <c r="C31" t="s">
        <v>11</v>
      </c>
      <c r="D31" t="s">
        <v>22</v>
      </c>
      <c r="E31" s="2">
        <v>1</v>
      </c>
      <c r="F31" s="3">
        <v>972.1</v>
      </c>
      <c r="G31" s="3">
        <v>972.1</v>
      </c>
      <c r="H31" s="3">
        <v>180.1</v>
      </c>
      <c r="I31" s="3">
        <v>792</v>
      </c>
      <c r="J31" s="2">
        <v>2</v>
      </c>
    </row>
    <row r="32" spans="1:10" x14ac:dyDescent="0.25">
      <c r="A32" s="1">
        <v>45743</v>
      </c>
      <c r="B32" t="s">
        <v>13</v>
      </c>
      <c r="C32" t="s">
        <v>19</v>
      </c>
      <c r="D32" t="s">
        <v>17</v>
      </c>
      <c r="E32" s="2">
        <v>7</v>
      </c>
      <c r="F32" s="3">
        <v>878.19</v>
      </c>
      <c r="G32" s="3">
        <v>6147.33</v>
      </c>
      <c r="H32" s="3">
        <v>1109.52</v>
      </c>
      <c r="I32" s="3">
        <v>5037.8100000000004</v>
      </c>
      <c r="J32" s="2">
        <v>2</v>
      </c>
    </row>
    <row r="33" spans="1:10" x14ac:dyDescent="0.25">
      <c r="A33" s="1">
        <v>45852</v>
      </c>
      <c r="B33" t="s">
        <v>10</v>
      </c>
      <c r="C33" t="s">
        <v>19</v>
      </c>
      <c r="D33" t="s">
        <v>12</v>
      </c>
      <c r="E33" s="2">
        <v>15</v>
      </c>
      <c r="F33" s="3">
        <v>356.72</v>
      </c>
      <c r="G33" s="3">
        <v>5350.8</v>
      </c>
      <c r="H33" s="3">
        <v>745.46</v>
      </c>
      <c r="I33" s="3">
        <v>4605.34</v>
      </c>
      <c r="J33" s="2">
        <v>5</v>
      </c>
    </row>
    <row r="34" spans="1:10" x14ac:dyDescent="0.25">
      <c r="A34" s="1">
        <v>45996</v>
      </c>
      <c r="B34" t="s">
        <v>13</v>
      </c>
      <c r="C34" t="s">
        <v>21</v>
      </c>
      <c r="D34" t="s">
        <v>20</v>
      </c>
      <c r="E34" s="2">
        <v>10</v>
      </c>
      <c r="F34" s="3">
        <v>295.93</v>
      </c>
      <c r="G34" s="3">
        <v>2959.3</v>
      </c>
      <c r="H34" s="3">
        <v>34.61</v>
      </c>
      <c r="I34" s="3">
        <v>2924.69</v>
      </c>
      <c r="J34" s="2">
        <v>5</v>
      </c>
    </row>
    <row r="35" spans="1:10" x14ac:dyDescent="0.25">
      <c r="A35" s="1">
        <v>45689</v>
      </c>
      <c r="B35" t="s">
        <v>23</v>
      </c>
      <c r="C35" t="s">
        <v>11</v>
      </c>
      <c r="D35" t="s">
        <v>14</v>
      </c>
      <c r="E35" s="2">
        <v>19</v>
      </c>
      <c r="F35" s="3">
        <v>529.11</v>
      </c>
      <c r="G35" s="3">
        <v>10053.09</v>
      </c>
      <c r="H35" s="3">
        <v>1848.54</v>
      </c>
      <c r="I35" s="3">
        <v>8204.5499999999993</v>
      </c>
      <c r="J35" s="2">
        <v>5</v>
      </c>
    </row>
    <row r="36" spans="1:10" x14ac:dyDescent="0.25">
      <c r="A36" s="1">
        <v>45738</v>
      </c>
      <c r="B36" t="s">
        <v>10</v>
      </c>
      <c r="C36" t="s">
        <v>16</v>
      </c>
      <c r="D36" t="s">
        <v>14</v>
      </c>
      <c r="E36" s="2">
        <v>6</v>
      </c>
      <c r="F36" s="3">
        <v>161.66999999999999</v>
      </c>
      <c r="G36" s="3">
        <v>970.02</v>
      </c>
      <c r="H36" s="3">
        <v>13.18</v>
      </c>
      <c r="I36" s="3">
        <v>956.84</v>
      </c>
      <c r="J36" s="2">
        <v>2</v>
      </c>
    </row>
    <row r="37" spans="1:10" x14ac:dyDescent="0.25">
      <c r="A37" s="1">
        <v>45864</v>
      </c>
      <c r="B37" t="s">
        <v>10</v>
      </c>
      <c r="C37" t="s">
        <v>16</v>
      </c>
      <c r="D37" t="s">
        <v>20</v>
      </c>
      <c r="E37" s="2">
        <v>19</v>
      </c>
      <c r="F37" s="3">
        <v>635.07000000000005</v>
      </c>
      <c r="G37" s="3">
        <v>12066.33</v>
      </c>
      <c r="H37" s="3">
        <v>1494.73</v>
      </c>
      <c r="I37" s="3">
        <v>10571.6</v>
      </c>
      <c r="J37" s="2">
        <v>4</v>
      </c>
    </row>
    <row r="38" spans="1:10" x14ac:dyDescent="0.25">
      <c r="A38" s="1">
        <v>45994</v>
      </c>
      <c r="B38" t="s">
        <v>23</v>
      </c>
      <c r="C38" t="s">
        <v>18</v>
      </c>
      <c r="D38" t="s">
        <v>20</v>
      </c>
      <c r="E38" s="2">
        <v>11</v>
      </c>
      <c r="F38" s="3">
        <v>314.82</v>
      </c>
      <c r="G38" s="3">
        <v>3463.02</v>
      </c>
      <c r="H38" s="3">
        <v>274.12</v>
      </c>
      <c r="I38" s="3">
        <v>3188.9</v>
      </c>
      <c r="J38" s="2">
        <v>3</v>
      </c>
    </row>
    <row r="39" spans="1:10" x14ac:dyDescent="0.25">
      <c r="A39" s="1">
        <v>45892</v>
      </c>
      <c r="B39" t="s">
        <v>23</v>
      </c>
      <c r="C39" t="s">
        <v>11</v>
      </c>
      <c r="D39" t="s">
        <v>14</v>
      </c>
      <c r="E39" s="2">
        <v>15</v>
      </c>
      <c r="F39" s="3">
        <v>659.04</v>
      </c>
      <c r="G39" s="3">
        <v>9885.6</v>
      </c>
      <c r="H39" s="3">
        <v>1113.1099999999999</v>
      </c>
      <c r="I39" s="3">
        <v>8772.49</v>
      </c>
      <c r="J39" s="2">
        <v>1</v>
      </c>
    </row>
    <row r="40" spans="1:10" x14ac:dyDescent="0.25">
      <c r="A40" s="1">
        <v>45695</v>
      </c>
      <c r="B40" t="s">
        <v>15</v>
      </c>
      <c r="C40" t="s">
        <v>16</v>
      </c>
      <c r="D40" t="s">
        <v>12</v>
      </c>
      <c r="E40" s="2">
        <v>5</v>
      </c>
      <c r="F40" s="3">
        <v>939.93</v>
      </c>
      <c r="G40" s="3">
        <v>4699.6499999999996</v>
      </c>
      <c r="H40" s="3">
        <v>827.95</v>
      </c>
      <c r="I40" s="3">
        <v>3871.7</v>
      </c>
      <c r="J40" s="2">
        <v>2</v>
      </c>
    </row>
    <row r="41" spans="1:10" x14ac:dyDescent="0.25">
      <c r="A41" s="1">
        <v>45847</v>
      </c>
      <c r="B41" t="s">
        <v>23</v>
      </c>
      <c r="C41" t="s">
        <v>21</v>
      </c>
      <c r="D41" t="s">
        <v>17</v>
      </c>
      <c r="E41" s="2">
        <v>18</v>
      </c>
      <c r="F41" s="3">
        <v>733.19</v>
      </c>
      <c r="G41" s="3">
        <v>13197.42</v>
      </c>
      <c r="H41" s="3">
        <v>1614.51</v>
      </c>
      <c r="I41" s="3">
        <v>11582.91</v>
      </c>
      <c r="J41" s="2">
        <v>5</v>
      </c>
    </row>
    <row r="42" spans="1:10" x14ac:dyDescent="0.25">
      <c r="A42" s="1">
        <v>45662</v>
      </c>
      <c r="B42" t="s">
        <v>23</v>
      </c>
      <c r="C42" t="s">
        <v>11</v>
      </c>
      <c r="D42" t="s">
        <v>20</v>
      </c>
      <c r="E42" s="2">
        <v>9</v>
      </c>
      <c r="F42" s="3">
        <v>203.89</v>
      </c>
      <c r="G42" s="3">
        <v>1835.01</v>
      </c>
      <c r="H42" s="3">
        <v>39.28</v>
      </c>
      <c r="I42" s="3">
        <v>1795.73</v>
      </c>
      <c r="J42" s="2">
        <v>5</v>
      </c>
    </row>
    <row r="43" spans="1:10" x14ac:dyDescent="0.25">
      <c r="A43" s="1">
        <v>45737</v>
      </c>
      <c r="B43" t="s">
        <v>23</v>
      </c>
      <c r="C43" t="s">
        <v>18</v>
      </c>
      <c r="D43" t="s">
        <v>22</v>
      </c>
      <c r="E43" s="2">
        <v>7</v>
      </c>
      <c r="F43" s="3">
        <v>745.85</v>
      </c>
      <c r="G43" s="3">
        <v>5220.95</v>
      </c>
      <c r="H43" s="3">
        <v>212.59</v>
      </c>
      <c r="I43" s="3">
        <v>5008.3599999999997</v>
      </c>
      <c r="J43" s="2">
        <v>3</v>
      </c>
    </row>
    <row r="44" spans="1:10" x14ac:dyDescent="0.25">
      <c r="A44" s="1">
        <v>45916</v>
      </c>
      <c r="B44" t="s">
        <v>13</v>
      </c>
      <c r="C44" t="s">
        <v>18</v>
      </c>
      <c r="D44" t="s">
        <v>14</v>
      </c>
      <c r="E44" s="2">
        <v>3</v>
      </c>
      <c r="F44" s="3">
        <v>670.86</v>
      </c>
      <c r="G44" s="3">
        <v>2012.58</v>
      </c>
      <c r="H44" s="3">
        <v>333.83</v>
      </c>
      <c r="I44" s="3">
        <v>1678.75</v>
      </c>
      <c r="J44" s="2">
        <v>1</v>
      </c>
    </row>
    <row r="45" spans="1:10" x14ac:dyDescent="0.25">
      <c r="A45" s="1">
        <v>45659</v>
      </c>
      <c r="B45" t="s">
        <v>23</v>
      </c>
      <c r="C45" t="s">
        <v>21</v>
      </c>
      <c r="D45" t="s">
        <v>12</v>
      </c>
      <c r="E45" s="2">
        <v>6</v>
      </c>
      <c r="F45" s="3">
        <v>767.11</v>
      </c>
      <c r="G45" s="3">
        <v>4602.66</v>
      </c>
      <c r="H45" s="3">
        <v>507.84</v>
      </c>
      <c r="I45" s="3">
        <v>4094.82</v>
      </c>
      <c r="J45" s="2">
        <v>4</v>
      </c>
    </row>
    <row r="46" spans="1:10" x14ac:dyDescent="0.25">
      <c r="A46" s="1">
        <v>45945</v>
      </c>
      <c r="B46" t="s">
        <v>10</v>
      </c>
      <c r="C46" t="s">
        <v>11</v>
      </c>
      <c r="D46" t="s">
        <v>14</v>
      </c>
      <c r="E46" s="2">
        <v>5</v>
      </c>
      <c r="F46" s="3">
        <v>591.03</v>
      </c>
      <c r="G46" s="3">
        <v>2955.15</v>
      </c>
      <c r="H46" s="3">
        <v>493.27</v>
      </c>
      <c r="I46" s="3">
        <v>2461.88</v>
      </c>
      <c r="J46" s="2">
        <v>5</v>
      </c>
    </row>
    <row r="47" spans="1:10" x14ac:dyDescent="0.25">
      <c r="A47" s="1">
        <v>45940</v>
      </c>
      <c r="B47" t="s">
        <v>15</v>
      </c>
      <c r="C47" t="s">
        <v>19</v>
      </c>
      <c r="D47" t="s">
        <v>20</v>
      </c>
      <c r="E47" s="2">
        <v>2</v>
      </c>
      <c r="F47" s="3">
        <v>377.43</v>
      </c>
      <c r="G47" s="3">
        <v>754.86</v>
      </c>
      <c r="H47" s="3">
        <v>135.72</v>
      </c>
      <c r="I47" s="3">
        <v>619.14</v>
      </c>
      <c r="J47" s="2">
        <v>1</v>
      </c>
    </row>
    <row r="48" spans="1:10" x14ac:dyDescent="0.25">
      <c r="A48" s="1">
        <v>45841</v>
      </c>
      <c r="B48" t="s">
        <v>15</v>
      </c>
      <c r="C48" t="s">
        <v>21</v>
      </c>
      <c r="D48" t="s">
        <v>14</v>
      </c>
      <c r="E48" s="2">
        <v>12</v>
      </c>
      <c r="F48" s="3">
        <v>802.1</v>
      </c>
      <c r="G48" s="3">
        <v>9625.2000000000007</v>
      </c>
      <c r="H48" s="3">
        <v>1701.99</v>
      </c>
      <c r="I48" s="3">
        <v>7923.21</v>
      </c>
      <c r="J48" s="2">
        <v>4</v>
      </c>
    </row>
    <row r="49" spans="1:10" x14ac:dyDescent="0.25">
      <c r="A49" s="1">
        <v>45975</v>
      </c>
      <c r="B49" t="s">
        <v>15</v>
      </c>
      <c r="C49" t="s">
        <v>21</v>
      </c>
      <c r="D49" t="s">
        <v>20</v>
      </c>
      <c r="E49" s="2">
        <v>6</v>
      </c>
      <c r="F49" s="3">
        <v>893.27</v>
      </c>
      <c r="G49" s="3">
        <v>5359.62</v>
      </c>
      <c r="H49" s="3">
        <v>26.57</v>
      </c>
      <c r="I49" s="3">
        <v>5333.05</v>
      </c>
      <c r="J49" s="2">
        <v>3</v>
      </c>
    </row>
    <row r="50" spans="1:10" x14ac:dyDescent="0.25">
      <c r="A50" s="1">
        <v>45868</v>
      </c>
      <c r="B50" t="s">
        <v>15</v>
      </c>
      <c r="C50" t="s">
        <v>18</v>
      </c>
      <c r="D50" t="s">
        <v>20</v>
      </c>
      <c r="E50" s="2">
        <v>4</v>
      </c>
      <c r="F50" s="3">
        <v>444.29</v>
      </c>
      <c r="G50" s="3">
        <v>1777.16</v>
      </c>
      <c r="H50" s="3">
        <v>13.76</v>
      </c>
      <c r="I50" s="3">
        <v>1763.4</v>
      </c>
      <c r="J50" s="2">
        <v>4</v>
      </c>
    </row>
    <row r="51" spans="1:10" x14ac:dyDescent="0.25">
      <c r="A51" s="1">
        <v>45771</v>
      </c>
      <c r="B51" t="s">
        <v>15</v>
      </c>
      <c r="C51" t="s">
        <v>19</v>
      </c>
      <c r="D51" t="s">
        <v>12</v>
      </c>
      <c r="E51" s="2">
        <v>10</v>
      </c>
      <c r="F51" s="3">
        <v>838.48</v>
      </c>
      <c r="G51" s="3">
        <v>8384.7999999999993</v>
      </c>
      <c r="H51" s="3">
        <v>1461.17</v>
      </c>
      <c r="I51" s="3">
        <v>6923.63</v>
      </c>
      <c r="J51" s="2">
        <v>2</v>
      </c>
    </row>
    <row r="52" spans="1:10" x14ac:dyDescent="0.25">
      <c r="A52" s="1">
        <v>45670</v>
      </c>
      <c r="B52" t="s">
        <v>15</v>
      </c>
      <c r="C52" t="s">
        <v>19</v>
      </c>
      <c r="D52" t="s">
        <v>12</v>
      </c>
      <c r="E52" s="2">
        <v>9</v>
      </c>
      <c r="F52" s="3">
        <v>877.92</v>
      </c>
      <c r="G52" s="3">
        <v>7901.28</v>
      </c>
      <c r="H52" s="3">
        <v>1527.93</v>
      </c>
      <c r="I52" s="3">
        <v>6373.35</v>
      </c>
      <c r="J52" s="2">
        <v>3</v>
      </c>
    </row>
  </sheetData>
  <mergeCells count="1">
    <mergeCell ref="A1:J1"/>
  </mergeCells>
  <conditionalFormatting sqref="H3:H52">
    <cfRule type="expression" dxfId="1" priority="1">
      <formula>$H3&gt;($G3*20%)</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3972604B-F3F0-4525-A3E6-466EB31E1DC9}">
          <x14:formula1>
            <xm:f>'Region Product Salesperson list'!$A$2:$A$5</xm:f>
          </x14:formula1>
          <xm:sqref>B3:B52</xm:sqref>
        </x14:dataValidation>
        <x14:dataValidation type="list" allowBlank="1" showInputMessage="1" showErrorMessage="1" xr:uid="{F21F5AF5-808A-4F2F-A3FA-C27441434C75}">
          <x14:formula1>
            <xm:f>'Region Product Salesperson list'!$C$2:$C$6</xm:f>
          </x14:formula1>
          <xm:sqref>C3:C52</xm:sqref>
        </x14:dataValidation>
        <x14:dataValidation type="list" allowBlank="1" showInputMessage="1" showErrorMessage="1" xr:uid="{D67684C3-48E6-465A-A20E-13F4580DCEC7}">
          <x14:formula1>
            <xm:f>'Region Product Salesperson list'!$E$2:$E$6</xm:f>
          </x14:formula1>
          <xm:sqref>D3:D52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28DA8-B4E3-417E-9892-B4DD53B8520E}">
  <dimension ref="A1:F12"/>
  <sheetViews>
    <sheetView showGridLines="0" workbookViewId="0">
      <selection activeCell="M16" sqref="M16"/>
    </sheetView>
  </sheetViews>
  <sheetFormatPr defaultRowHeight="15" x14ac:dyDescent="0.25"/>
  <cols>
    <col min="1" max="1" width="11.140625" bestFit="1" customWidth="1"/>
    <col min="2" max="2" width="11.140625" customWidth="1"/>
    <col min="3" max="3" width="15.85546875" bestFit="1" customWidth="1"/>
    <col min="4" max="4" width="15.85546875" customWidth="1"/>
    <col min="5" max="5" width="19" customWidth="1"/>
    <col min="6" max="6" width="12.28515625" bestFit="1" customWidth="1"/>
  </cols>
  <sheetData>
    <row r="1" spans="1:6" x14ac:dyDescent="0.25">
      <c r="A1" s="9" t="s">
        <v>26</v>
      </c>
      <c r="B1" s="6"/>
      <c r="C1" s="9" t="s">
        <v>27</v>
      </c>
      <c r="D1" s="6"/>
      <c r="E1" s="9" t="s">
        <v>28</v>
      </c>
    </row>
    <row r="2" spans="1:6" ht="17.25" customHeight="1" x14ac:dyDescent="0.25">
      <c r="A2" s="8" t="s">
        <v>10</v>
      </c>
      <c r="B2" s="7"/>
      <c r="C2" s="8" t="s">
        <v>11</v>
      </c>
      <c r="D2" s="7"/>
      <c r="E2" s="8" t="s">
        <v>12</v>
      </c>
    </row>
    <row r="3" spans="1:6" x14ac:dyDescent="0.25">
      <c r="A3" s="8" t="s">
        <v>13</v>
      </c>
      <c r="B3" s="7"/>
      <c r="C3" s="8" t="s">
        <v>16</v>
      </c>
      <c r="D3" s="7"/>
      <c r="E3" s="8" t="s">
        <v>14</v>
      </c>
    </row>
    <row r="4" spans="1:6" x14ac:dyDescent="0.25">
      <c r="A4" s="8" t="s">
        <v>15</v>
      </c>
      <c r="B4" s="7"/>
      <c r="C4" s="8" t="s">
        <v>18</v>
      </c>
      <c r="D4" s="7"/>
      <c r="E4" s="8" t="s">
        <v>17</v>
      </c>
    </row>
    <row r="5" spans="1:6" x14ac:dyDescent="0.25">
      <c r="A5" s="8" t="s">
        <v>23</v>
      </c>
      <c r="B5" s="7"/>
      <c r="C5" s="8" t="s">
        <v>19</v>
      </c>
      <c r="D5" s="7"/>
      <c r="E5" s="8" t="s">
        <v>20</v>
      </c>
    </row>
    <row r="6" spans="1:6" x14ac:dyDescent="0.25">
      <c r="A6" s="6"/>
      <c r="B6" s="6"/>
      <c r="C6" s="8" t="s">
        <v>21</v>
      </c>
      <c r="D6" s="7"/>
      <c r="E6" s="8" t="s">
        <v>22</v>
      </c>
    </row>
    <row r="9" spans="1:6" x14ac:dyDescent="0.25">
      <c r="E9" s="10" t="s">
        <v>29</v>
      </c>
      <c r="F9" s="11">
        <f>SUM(Sales_Table[Total Sales])</f>
        <v>276345.63</v>
      </c>
    </row>
    <row r="10" spans="1:6" x14ac:dyDescent="0.25">
      <c r="E10" s="10" t="s">
        <v>30</v>
      </c>
      <c r="F10" s="11">
        <f>SUM(Sales_Table[Net Sales])</f>
        <v>244745.67</v>
      </c>
    </row>
    <row r="11" spans="1:6" x14ac:dyDescent="0.25">
      <c r="E11" s="10" t="s">
        <v>31</v>
      </c>
      <c r="F11" s="11">
        <f>AVERAGE(Sales_Table[Discount])</f>
        <v>631.99919999999997</v>
      </c>
    </row>
    <row r="12" spans="1:6" x14ac:dyDescent="0.25">
      <c r="E12" s="10" t="s">
        <v>4</v>
      </c>
      <c r="F12" s="12">
        <f>SUM(Sales_Table[Units Sold])</f>
        <v>498</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4DF16-A9A4-4D1E-9247-86C6F05E87A8}">
  <dimension ref="A1:D14"/>
  <sheetViews>
    <sheetView workbookViewId="0">
      <selection activeCell="H19" sqref="H19"/>
    </sheetView>
  </sheetViews>
  <sheetFormatPr defaultRowHeight="15" x14ac:dyDescent="0.25"/>
  <cols>
    <col min="1" max="1" width="13.140625" bestFit="1" customWidth="1"/>
    <col min="2" max="2" width="17.28515625" bestFit="1" customWidth="1"/>
    <col min="3" max="3" width="16" bestFit="1" customWidth="1"/>
    <col min="4" max="4" width="15.42578125" bestFit="1" customWidth="1"/>
  </cols>
  <sheetData>
    <row r="1" spans="1:4" x14ac:dyDescent="0.25">
      <c r="A1" s="13" t="s">
        <v>32</v>
      </c>
      <c r="B1" t="s">
        <v>46</v>
      </c>
      <c r="C1" t="s">
        <v>47</v>
      </c>
      <c r="D1" t="s">
        <v>48</v>
      </c>
    </row>
    <row r="2" spans="1:4" x14ac:dyDescent="0.25">
      <c r="A2" s="14" t="s">
        <v>34</v>
      </c>
      <c r="B2" s="3">
        <v>15555.99</v>
      </c>
      <c r="C2" s="3">
        <v>13267.23</v>
      </c>
      <c r="D2" s="3">
        <v>2288.7600000000002</v>
      </c>
    </row>
    <row r="3" spans="1:4" x14ac:dyDescent="0.25">
      <c r="A3" s="14" t="s">
        <v>35</v>
      </c>
      <c r="B3" s="3">
        <v>30541.08</v>
      </c>
      <c r="C3" s="3">
        <v>25975.919999999998</v>
      </c>
      <c r="D3" s="3">
        <v>4565.16</v>
      </c>
    </row>
    <row r="4" spans="1:4" x14ac:dyDescent="0.25">
      <c r="A4" s="14" t="s">
        <v>36</v>
      </c>
      <c r="B4" s="3">
        <v>53642.54</v>
      </c>
      <c r="C4" s="3">
        <v>46104.95</v>
      </c>
      <c r="D4" s="3">
        <v>7537.59</v>
      </c>
    </row>
    <row r="5" spans="1:4" x14ac:dyDescent="0.25">
      <c r="A5" s="14" t="s">
        <v>37</v>
      </c>
      <c r="B5" s="3">
        <v>23051</v>
      </c>
      <c r="C5" s="3">
        <v>20368.93</v>
      </c>
      <c r="D5" s="3">
        <v>2682.07</v>
      </c>
    </row>
    <row r="6" spans="1:4" x14ac:dyDescent="0.25">
      <c r="A6" s="14" t="s">
        <v>38</v>
      </c>
      <c r="B6" s="3">
        <v>9921.92</v>
      </c>
      <c r="C6" s="3">
        <v>8520.43</v>
      </c>
      <c r="D6" s="3">
        <v>1401.49</v>
      </c>
    </row>
    <row r="7" spans="1:4" x14ac:dyDescent="0.25">
      <c r="A7" s="14" t="s">
        <v>39</v>
      </c>
      <c r="B7" s="3">
        <v>13644.580000000002</v>
      </c>
      <c r="C7" s="3">
        <v>13210.560000000001</v>
      </c>
      <c r="D7" s="3">
        <v>434.02</v>
      </c>
    </row>
    <row r="8" spans="1:4" x14ac:dyDescent="0.25">
      <c r="A8" s="14" t="s">
        <v>40</v>
      </c>
      <c r="B8" s="3">
        <v>42016.91</v>
      </c>
      <c r="C8" s="3">
        <v>36446.46</v>
      </c>
      <c r="D8" s="3">
        <v>5570.45</v>
      </c>
    </row>
    <row r="9" spans="1:4" x14ac:dyDescent="0.25">
      <c r="A9" s="14" t="s">
        <v>41</v>
      </c>
      <c r="B9" s="3">
        <v>10857.7</v>
      </c>
      <c r="C9" s="3">
        <v>9564.49</v>
      </c>
      <c r="D9" s="3">
        <v>1293.2099999999998</v>
      </c>
    </row>
    <row r="10" spans="1:4" x14ac:dyDescent="0.25">
      <c r="A10" s="14" t="s">
        <v>42</v>
      </c>
      <c r="B10" s="3">
        <v>13441.74</v>
      </c>
      <c r="C10" s="3">
        <v>11930.75</v>
      </c>
      <c r="D10" s="3">
        <v>1510.9899999999998</v>
      </c>
    </row>
    <row r="11" spans="1:4" x14ac:dyDescent="0.25">
      <c r="A11" s="14" t="s">
        <v>43</v>
      </c>
      <c r="B11" s="3">
        <v>23452.739999999998</v>
      </c>
      <c r="C11" s="3">
        <v>20470.66</v>
      </c>
      <c r="D11" s="3">
        <v>2982.0800000000004</v>
      </c>
    </row>
    <row r="12" spans="1:4" x14ac:dyDescent="0.25">
      <c r="A12" s="14" t="s">
        <v>44</v>
      </c>
      <c r="B12" s="3">
        <v>11159.5</v>
      </c>
      <c r="C12" s="3">
        <v>10776.18</v>
      </c>
      <c r="D12" s="3">
        <v>383.32</v>
      </c>
    </row>
    <row r="13" spans="1:4" x14ac:dyDescent="0.25">
      <c r="A13" s="14" t="s">
        <v>45</v>
      </c>
      <c r="B13" s="3">
        <v>29059.93</v>
      </c>
      <c r="C13" s="3">
        <v>28109.11</v>
      </c>
      <c r="D13" s="3">
        <v>950.81999999999994</v>
      </c>
    </row>
    <row r="14" spans="1:4" x14ac:dyDescent="0.25">
      <c r="A14" s="14" t="s">
        <v>33</v>
      </c>
      <c r="B14" s="3">
        <v>276345.63</v>
      </c>
      <c r="C14" s="3">
        <v>244745.66999999998</v>
      </c>
      <c r="D14" s="3">
        <v>31599.960000000006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A6F57-E562-4F0A-8CB3-9377F7E4D157}">
  <dimension ref="A2:C27"/>
  <sheetViews>
    <sheetView workbookViewId="0">
      <selection activeCell="H20" sqref="H20"/>
    </sheetView>
  </sheetViews>
  <sheetFormatPr defaultRowHeight="15" x14ac:dyDescent="0.25"/>
  <cols>
    <col min="1" max="1" width="15.7109375" bestFit="1" customWidth="1"/>
    <col min="2" max="2" width="16" bestFit="1" customWidth="1"/>
    <col min="3" max="3" width="16.7109375" bestFit="1" customWidth="1"/>
  </cols>
  <sheetData>
    <row r="2" spans="1:3" x14ac:dyDescent="0.25">
      <c r="A2" s="13" t="s">
        <v>32</v>
      </c>
      <c r="B2" t="s">
        <v>47</v>
      </c>
      <c r="C2" t="s">
        <v>49</v>
      </c>
    </row>
    <row r="3" spans="1:3" x14ac:dyDescent="0.25">
      <c r="A3" s="14" t="s">
        <v>23</v>
      </c>
      <c r="B3" s="3">
        <v>82443.3</v>
      </c>
      <c r="C3" s="2">
        <v>152</v>
      </c>
    </row>
    <row r="4" spans="1:3" x14ac:dyDescent="0.25">
      <c r="A4" s="15" t="s">
        <v>14</v>
      </c>
      <c r="B4" s="3">
        <v>19524.68</v>
      </c>
      <c r="C4" s="2">
        <v>38</v>
      </c>
    </row>
    <row r="5" spans="1:3" x14ac:dyDescent="0.25">
      <c r="A5" s="15" t="s">
        <v>17</v>
      </c>
      <c r="B5" s="3">
        <v>11582.91</v>
      </c>
      <c r="C5" s="2">
        <v>18</v>
      </c>
    </row>
    <row r="6" spans="1:3" x14ac:dyDescent="0.25">
      <c r="A6" s="15" t="s">
        <v>22</v>
      </c>
      <c r="B6" s="3">
        <v>29907.690000000002</v>
      </c>
      <c r="C6" s="2">
        <v>38</v>
      </c>
    </row>
    <row r="7" spans="1:3" x14ac:dyDescent="0.25">
      <c r="A7" s="15" t="s">
        <v>12</v>
      </c>
      <c r="B7" s="3">
        <v>7485.38</v>
      </c>
      <c r="C7" s="2">
        <v>20</v>
      </c>
    </row>
    <row r="8" spans="1:3" x14ac:dyDescent="0.25">
      <c r="A8" s="15" t="s">
        <v>20</v>
      </c>
      <c r="B8" s="3">
        <v>13942.64</v>
      </c>
      <c r="C8" s="2">
        <v>38</v>
      </c>
    </row>
    <row r="9" spans="1:3" x14ac:dyDescent="0.25">
      <c r="A9" s="14" t="s">
        <v>10</v>
      </c>
      <c r="B9" s="3">
        <v>64909.08</v>
      </c>
      <c r="C9" s="2">
        <v>143</v>
      </c>
    </row>
    <row r="10" spans="1:3" x14ac:dyDescent="0.25">
      <c r="A10" s="15" t="s">
        <v>14</v>
      </c>
      <c r="B10" s="3">
        <v>9144.75</v>
      </c>
      <c r="C10" s="2">
        <v>29</v>
      </c>
    </row>
    <row r="11" spans="1:3" x14ac:dyDescent="0.25">
      <c r="A11" s="15" t="s">
        <v>17</v>
      </c>
      <c r="B11" s="3">
        <v>14063.84</v>
      </c>
      <c r="C11" s="2">
        <v>23</v>
      </c>
    </row>
    <row r="12" spans="1:3" x14ac:dyDescent="0.25">
      <c r="A12" s="15" t="s">
        <v>22</v>
      </c>
      <c r="B12" s="3">
        <v>8706.52</v>
      </c>
      <c r="C12" s="2">
        <v>20</v>
      </c>
    </row>
    <row r="13" spans="1:3" x14ac:dyDescent="0.25">
      <c r="A13" s="15" t="s">
        <v>12</v>
      </c>
      <c r="B13" s="3">
        <v>9255.43</v>
      </c>
      <c r="C13" s="2">
        <v>34</v>
      </c>
    </row>
    <row r="14" spans="1:3" x14ac:dyDescent="0.25">
      <c r="A14" s="15" t="s">
        <v>20</v>
      </c>
      <c r="B14" s="3">
        <v>23738.54</v>
      </c>
      <c r="C14" s="2">
        <v>37</v>
      </c>
    </row>
    <row r="15" spans="1:3" x14ac:dyDescent="0.25">
      <c r="A15" s="14" t="s">
        <v>15</v>
      </c>
      <c r="B15" s="3">
        <v>62589.17</v>
      </c>
      <c r="C15" s="2">
        <v>118</v>
      </c>
    </row>
    <row r="16" spans="1:3" x14ac:dyDescent="0.25">
      <c r="A16" s="15" t="s">
        <v>14</v>
      </c>
      <c r="B16" s="3">
        <v>26374.720000000001</v>
      </c>
      <c r="C16" s="2">
        <v>38</v>
      </c>
    </row>
    <row r="17" spans="1:3" x14ac:dyDescent="0.25">
      <c r="A17" s="15" t="s">
        <v>17</v>
      </c>
      <c r="B17" s="3">
        <v>6713.34</v>
      </c>
      <c r="C17" s="2">
        <v>28</v>
      </c>
    </row>
    <row r="18" spans="1:3" x14ac:dyDescent="0.25">
      <c r="A18" s="15" t="s">
        <v>22</v>
      </c>
      <c r="B18" s="3">
        <v>4616.84</v>
      </c>
      <c r="C18" s="2">
        <v>16</v>
      </c>
    </row>
    <row r="19" spans="1:3" x14ac:dyDescent="0.25">
      <c r="A19" s="15" t="s">
        <v>12</v>
      </c>
      <c r="B19" s="3">
        <v>17168.68</v>
      </c>
      <c r="C19" s="2">
        <v>24</v>
      </c>
    </row>
    <row r="20" spans="1:3" x14ac:dyDescent="0.25">
      <c r="A20" s="15" t="s">
        <v>20</v>
      </c>
      <c r="B20" s="3">
        <v>7715.59</v>
      </c>
      <c r="C20" s="2">
        <v>12</v>
      </c>
    </row>
    <row r="21" spans="1:3" x14ac:dyDescent="0.25">
      <c r="A21" s="14" t="s">
        <v>13</v>
      </c>
      <c r="B21" s="3">
        <v>34804.120000000003</v>
      </c>
      <c r="C21" s="2">
        <v>85</v>
      </c>
    </row>
    <row r="22" spans="1:3" x14ac:dyDescent="0.25">
      <c r="A22" s="15" t="s">
        <v>14</v>
      </c>
      <c r="B22" s="3">
        <v>2479.08</v>
      </c>
      <c r="C22" s="2">
        <v>6</v>
      </c>
    </row>
    <row r="23" spans="1:3" x14ac:dyDescent="0.25">
      <c r="A23" s="15" t="s">
        <v>17</v>
      </c>
      <c r="B23" s="3">
        <v>17964.420000000002</v>
      </c>
      <c r="C23" s="2">
        <v>42</v>
      </c>
    </row>
    <row r="24" spans="1:3" x14ac:dyDescent="0.25">
      <c r="A24" s="15" t="s">
        <v>22</v>
      </c>
      <c r="B24" s="3">
        <v>975.3</v>
      </c>
      <c r="C24" s="2">
        <v>5</v>
      </c>
    </row>
    <row r="25" spans="1:3" x14ac:dyDescent="0.25">
      <c r="A25" s="15" t="s">
        <v>12</v>
      </c>
      <c r="B25" s="3">
        <v>7718.5599999999995</v>
      </c>
      <c r="C25" s="2">
        <v>17</v>
      </c>
    </row>
    <row r="26" spans="1:3" x14ac:dyDescent="0.25">
      <c r="A26" s="15" t="s">
        <v>20</v>
      </c>
      <c r="B26" s="3">
        <v>5666.76</v>
      </c>
      <c r="C26" s="2">
        <v>15</v>
      </c>
    </row>
    <row r="27" spans="1:3" x14ac:dyDescent="0.25">
      <c r="A27" s="14" t="s">
        <v>33</v>
      </c>
      <c r="B27" s="3">
        <v>244745.66999999998</v>
      </c>
      <c r="C27" s="2">
        <v>498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E6156-C749-4A76-88D0-39A96CE06BB7}">
  <dimension ref="A1:C7"/>
  <sheetViews>
    <sheetView workbookViewId="0">
      <selection activeCell="I19" sqref="I19"/>
    </sheetView>
  </sheetViews>
  <sheetFormatPr defaultRowHeight="15" x14ac:dyDescent="0.25"/>
  <cols>
    <col min="1" max="1" width="13.140625" bestFit="1" customWidth="1"/>
    <col min="2" max="2" width="16" bestFit="1" customWidth="1"/>
    <col min="3" max="3" width="16.7109375" bestFit="1" customWidth="1"/>
  </cols>
  <sheetData>
    <row r="1" spans="1:3" x14ac:dyDescent="0.25">
      <c r="A1" s="13" t="s">
        <v>32</v>
      </c>
      <c r="B1" t="s">
        <v>47</v>
      </c>
      <c r="C1" t="s">
        <v>49</v>
      </c>
    </row>
    <row r="2" spans="1:3" x14ac:dyDescent="0.25">
      <c r="A2" s="14" t="s">
        <v>16</v>
      </c>
      <c r="B2" s="3">
        <v>63308.80999999999</v>
      </c>
      <c r="C2" s="2">
        <v>108</v>
      </c>
    </row>
    <row r="3" spans="1:3" x14ac:dyDescent="0.25">
      <c r="A3" s="14" t="s">
        <v>21</v>
      </c>
      <c r="B3" s="3">
        <v>62470</v>
      </c>
      <c r="C3" s="2">
        <v>124</v>
      </c>
    </row>
    <row r="4" spans="1:3" x14ac:dyDescent="0.25">
      <c r="A4" s="14" t="s">
        <v>11</v>
      </c>
      <c r="B4" s="3">
        <v>56489.079999999994</v>
      </c>
      <c r="C4" s="2">
        <v>125</v>
      </c>
    </row>
    <row r="5" spans="1:3" x14ac:dyDescent="0.25">
      <c r="A5" s="14" t="s">
        <v>18</v>
      </c>
      <c r="B5" s="3">
        <v>33192.480000000003</v>
      </c>
      <c r="C5" s="2">
        <v>80</v>
      </c>
    </row>
    <row r="6" spans="1:3" x14ac:dyDescent="0.25">
      <c r="A6" s="14" t="s">
        <v>19</v>
      </c>
      <c r="B6" s="3">
        <v>29285.300000000003</v>
      </c>
      <c r="C6" s="2">
        <v>61</v>
      </c>
    </row>
    <row r="7" spans="1:3" x14ac:dyDescent="0.25">
      <c r="A7" s="14" t="s">
        <v>33</v>
      </c>
      <c r="B7" s="3">
        <v>244745.66999999998</v>
      </c>
      <c r="C7" s="2">
        <v>498</v>
      </c>
    </row>
  </sheetData>
  <conditionalFormatting pivot="1" sqref="B2:B6">
    <cfRule type="top10" dxfId="0" priority="1" rank="3"/>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C7AB7-624E-402A-B72B-506F53A975D0}">
  <dimension ref="A1"/>
  <sheetViews>
    <sheetView showGridLines="0" tabSelected="1" zoomScale="90" zoomScaleNormal="90" workbookViewId="0">
      <selection activeCell="W5" sqref="W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Sales_Table</vt:lpstr>
      <vt:lpstr>Region Product Salesperson list</vt:lpstr>
      <vt:lpstr>Sales summary by month</vt:lpstr>
      <vt:lpstr>Region and product performance</vt:lpstr>
      <vt:lpstr>Salesperson leaderboard</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Rose</dc:creator>
  <cp:lastModifiedBy>Rose Tojo</cp:lastModifiedBy>
  <dcterms:created xsi:type="dcterms:W3CDTF">2026-01-07T11:42:27Z</dcterms:created>
  <dcterms:modified xsi:type="dcterms:W3CDTF">2026-01-07T13:56:22Z</dcterms:modified>
</cp:coreProperties>
</file>